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no.grigolia\Desktop\"/>
    </mc:Choice>
  </mc:AlternateContent>
  <xr:revisionPtr revIDLastSave="0" documentId="13_ncr:1_{F973E793-CDBB-444A-957F-AF26C04F7A4B}" xr6:coauthVersionLast="47" xr6:coauthVersionMax="47" xr10:uidLastSave="{00000000-0000-0000-0000-000000000000}"/>
  <bookViews>
    <workbookView xWindow="-120" yWindow="-120" windowWidth="29040" windowHeight="15720" tabRatio="918" activeTab="3" xr2:uid="{00000000-000D-0000-FFFF-FFFF00000000}"/>
  </bookViews>
  <sheets>
    <sheet name="standard" sheetId="23" r:id="rId1"/>
    <sheet name="executive" sheetId="25" r:id="rId2"/>
    <sheet name="corridor" sheetId="26" r:id="rId3"/>
    <sheet name="Total" sheetId="28" r:id="rId4"/>
    <sheet name="ხარჯაღრიცხვა" sheetId="20" state="hidden" r:id="rId5"/>
    <sheet name="სამუშაო" sheetId="9" state="hidden" r:id="rId6"/>
    <sheet name="მასალები" sheetId="13" state="hidden" r:id="rId7"/>
    <sheet name="აბაზანის იატაკი" sheetId="14" state="hidden" r:id="rId8"/>
    <sheet name="ნომრის იატაკი" sheetId="15" state="hidden" r:id="rId9"/>
    <sheet name="სარკის გამოცვლა" sheetId="21" state="hidden" r:id="rId10"/>
    <sheet name="ინსტრუმენტები" sheetId="16" state="hidden" r:id="rId11"/>
    <sheet name="შემსრულებლები" sheetId="19" state="hidden" r:id="rId12"/>
  </sheets>
  <definedNames>
    <definedName name="_xlnm._FilterDatabase" localSheetId="5" hidden="1">სამუშაო!$A$4:$L$44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8" l="1"/>
  <c r="F20" i="26"/>
  <c r="F23" i="25"/>
  <c r="F70" i="13" l="1"/>
  <c r="F58" i="13"/>
  <c r="F22" i="23" l="1"/>
  <c r="F42" i="9" l="1"/>
  <c r="E5" i="21"/>
  <c r="D5" i="21"/>
  <c r="F36" i="9"/>
  <c r="F37" i="13"/>
  <c r="F50" i="13"/>
  <c r="F33" i="13" l="1"/>
  <c r="F27" i="13"/>
  <c r="F57" i="13" l="1"/>
  <c r="F56" i="13"/>
  <c r="F55" i="13"/>
  <c r="F54" i="13"/>
  <c r="F53" i="13"/>
  <c r="F46" i="13"/>
  <c r="F22" i="13"/>
  <c r="F23" i="13"/>
  <c r="F12" i="16" l="1"/>
  <c r="F7" i="16"/>
  <c r="E8" i="19"/>
  <c r="F23" i="9"/>
  <c r="F44" i="9" s="1"/>
  <c r="D3" i="20"/>
  <c r="D5" i="20" s="1"/>
  <c r="F35" i="9"/>
  <c r="F34" i="9"/>
  <c r="F33" i="9"/>
  <c r="F45" i="13"/>
  <c r="F42" i="13"/>
  <c r="F36" i="13"/>
  <c r="F35" i="13"/>
  <c r="F52" i="13"/>
  <c r="F51" i="13"/>
  <c r="F49" i="13"/>
  <c r="F48" i="13"/>
  <c r="F47" i="13"/>
  <c r="F16" i="13"/>
  <c r="F15" i="13"/>
  <c r="F11" i="13"/>
  <c r="F10" i="13"/>
  <c r="C2" i="20" l="1"/>
  <c r="F6" i="16"/>
  <c r="F5" i="16"/>
  <c r="F40" i="13"/>
  <c r="F38" i="13"/>
  <c r="F6" i="13"/>
  <c r="F13" i="13"/>
  <c r="F6" i="15" l="1"/>
  <c r="D6" i="15"/>
  <c r="E5" i="15"/>
  <c r="E4" i="15"/>
  <c r="E3" i="15"/>
  <c r="F9" i="13"/>
  <c r="F44" i="13"/>
  <c r="F43" i="13"/>
  <c r="F41" i="13"/>
  <c r="F39" i="13"/>
  <c r="F34" i="13"/>
  <c r="F32" i="13"/>
  <c r="F31" i="13"/>
  <c r="F29" i="13"/>
  <c r="F28" i="13"/>
  <c r="F26" i="13"/>
  <c r="F25" i="13"/>
  <c r="F24" i="13"/>
  <c r="F21" i="13"/>
  <c r="F20" i="13"/>
  <c r="F19" i="13"/>
  <c r="F18" i="13"/>
  <c r="F14" i="13"/>
  <c r="F12" i="13"/>
  <c r="F8" i="13"/>
  <c r="F7" i="13"/>
  <c r="C3" i="20" s="1"/>
  <c r="C5" i="20" s="1"/>
  <c r="E7" i="14"/>
  <c r="E6" i="14"/>
  <c r="D7" i="14"/>
  <c r="E4" i="14"/>
  <c r="E5" i="14"/>
  <c r="E3" i="14"/>
  <c r="E6" i="1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tc={D56B9667-3707-4423-ADF5-E11B84455F86}</author>
  </authors>
  <commentList>
    <comment ref="E31" authorId="0" shapeId="0" xr:uid="{D56B9667-3707-4423-ADF5-E11B84455F86}">
      <text>
        <t>[Threaded comment]
Your version of Excel allows you to read this threaded comment; however, any edits to it will get removed if the file is opened in a newer version of Excel. Learn more: https://go.microsoft.com/fwlink/?linkid=870924
Comment:
    2 აღებულია</t>
      </text>
    </comment>
  </commentList>
</comments>
</file>

<file path=xl/sharedStrings.xml><?xml version="1.0" encoding="utf-8"?>
<sst xmlns="http://schemas.openxmlformats.org/spreadsheetml/2006/main" count="584" uniqueCount="219">
  <si>
    <r>
      <rPr>
        <sz val="10"/>
        <rFont val="Sylfaen"/>
        <family val="1"/>
      </rPr>
      <t>N</t>
    </r>
  </si>
  <si>
    <r>
      <rPr>
        <sz val="9"/>
        <rFont val="Sylfaen"/>
        <family val="1"/>
      </rPr>
      <t>სამუშაოს დასახელება</t>
    </r>
  </si>
  <si>
    <r>
      <rPr>
        <sz val="9"/>
        <rFont val="Sylfaen"/>
        <family val="1"/>
      </rPr>
      <t>განზ.</t>
    </r>
  </si>
  <si>
    <r>
      <rPr>
        <sz val="9"/>
        <rFont val="Sylfaen"/>
        <family val="1"/>
      </rPr>
      <t>ერთეულის ღირებულება</t>
    </r>
  </si>
  <si>
    <r>
      <rPr>
        <sz val="9"/>
        <rFont val="Sylfaen"/>
        <family val="1"/>
      </rPr>
      <t>შესრულება საანგარიშო პერიოდში</t>
    </r>
  </si>
  <si>
    <r>
      <rPr>
        <sz val="9"/>
        <rFont val="Sylfaen"/>
        <family val="1"/>
      </rPr>
      <t>რა-ბა</t>
    </r>
  </si>
  <si>
    <r>
      <rPr>
        <sz val="9"/>
        <rFont val="Sylfaen"/>
        <family val="1"/>
      </rPr>
      <t>ღირებულება</t>
    </r>
  </si>
  <si>
    <t>აღწერით გათვალისწინებული</t>
  </si>
  <si>
    <t>შესრულება ნაზარდი ჯამით</t>
  </si>
  <si>
    <t>თეთრი პანელების დაშპაკლვა, შეღებვა</t>
  </si>
  <si>
    <t>კვ.</t>
  </si>
  <si>
    <t>მაგიდების, კარადების ნალიშნიკების შეღებვა</t>
  </si>
  <si>
    <t>ც.</t>
  </si>
  <si>
    <t>ჭერის ჩამოჭრა</t>
  </si>
  <si>
    <t>შეღებვა აბაზანის და ნომრის ჭერის</t>
  </si>
  <si>
    <t>სილიკონის მოჭრა, დაფუგა აბაზანის</t>
  </si>
  <si>
    <t>აქსესუარების გადამაგრება ნომერში</t>
  </si>
  <si>
    <t>ხელსაბნის ნიჯარის პანელების გალაქვა</t>
  </si>
  <si>
    <t>დერეფნის შეღებვა</t>
  </si>
  <si>
    <t>ხალიჩის დაგება</t>
  </si>
  <si>
    <t>ხალიჩის აღება</t>
  </si>
  <si>
    <t>ფანკოილის ძრავების შეცვლა</t>
  </si>
  <si>
    <t>კონდენსატორების შეცვლა</t>
  </si>
  <si>
    <t>მინი ბარების უკან ამოჭრა და გაწმენდა</t>
  </si>
  <si>
    <t>იმპულსორების გადამოწმება, ელეტროობის</t>
  </si>
  <si>
    <t>იატაკის მოციკლოვება, გალაქვა</t>
  </si>
  <si>
    <t>პლინტუსის შეღებვა</t>
  </si>
  <si>
    <t>მარაცის ქვის დაგება</t>
  </si>
  <si>
    <t>საფარდე კარნიზის გადამაგრება</t>
  </si>
  <si>
    <t>ფანკოილის რადიატორის გაწმენდვა</t>
  </si>
  <si>
    <t>სალნიკების შეცვლა</t>
  </si>
  <si>
    <t>პარკეტის აღება აბაზანაში</t>
  </si>
  <si>
    <t>ნომრის და აბაზანის კარის დემონტაჟი, მონტაჟი</t>
  </si>
  <si>
    <t>საწოლის თავთან პანელების გადამაგრება</t>
  </si>
  <si>
    <t>მილების შეფუთვა კონდესატისთვის</t>
  </si>
  <si>
    <t>სიფონის გაწმენდა</t>
  </si>
  <si>
    <t>უნიტაზის რეზინის შეცვლა</t>
  </si>
  <si>
    <t>გერმეტიული სანათების მოხსნა გაწმენდა</t>
  </si>
  <si>
    <t>მაგიდის დემონტაჟი, მონტაჟი</t>
  </si>
  <si>
    <t>კარადის კარის პეტლების შეკეთება</t>
  </si>
  <si>
    <t>სამსვლიანების დაზეთვა</t>
  </si>
  <si>
    <t>მასალის დასახელება</t>
  </si>
  <si>
    <t>შურუფი 2x5</t>
  </si>
  <si>
    <t>ყუთი</t>
  </si>
  <si>
    <t>ცალი</t>
  </si>
  <si>
    <t>შურუფი 3x5</t>
  </si>
  <si>
    <t>ცელოფანი</t>
  </si>
  <si>
    <t>რულონი</t>
  </si>
  <si>
    <t>თაბაშირმუყაო</t>
  </si>
  <si>
    <t>კუთხოვანა თაბაშირმუყაოს კუთხისთვის</t>
  </si>
  <si>
    <t>სავარძლის და პუფის ქეჩები</t>
  </si>
  <si>
    <t>მეშოკი</t>
  </si>
  <si>
    <t>ქაღალდის სკოჩი</t>
  </si>
  <si>
    <t>ფილტრების ემლაიმიდან</t>
  </si>
  <si>
    <t>მეტრი</t>
  </si>
  <si>
    <t>კგ</t>
  </si>
  <si>
    <t>გერმანული აპარატის შკურკა 40-იანი</t>
  </si>
  <si>
    <t>გერმანული აპარატის შკურკა 60-იანი</t>
  </si>
  <si>
    <t>გერმანული აპარატის შკურკა 80-იანი</t>
  </si>
  <si>
    <t>გერმანული აპარატის შკურკა 120-იანი</t>
  </si>
  <si>
    <t>სმესი შპაკლი</t>
  </si>
  <si>
    <t>ბალონი</t>
  </si>
  <si>
    <t>სილიკონი (ვიურტის გამჭვირვალე)</t>
  </si>
  <si>
    <t>დანა</t>
  </si>
  <si>
    <t>პირები</t>
  </si>
  <si>
    <t>ზეთი სპრეი (პეტლებისთვის)</t>
  </si>
  <si>
    <t>ჟანგის მოსაშორებელი სპრეი ვ.დ.-40</t>
  </si>
  <si>
    <t>იზოლენტა</t>
  </si>
  <si>
    <t>ჟანგის მოსაცილებელი</t>
  </si>
  <si>
    <t>დეკორის გრძელ ბეწვიანი სატკეპნი (მაღალი ბეწვით)</t>
  </si>
  <si>
    <t>ჩოთქები 5-ანი</t>
  </si>
  <si>
    <t>პატარა სატკეპნის პირები (დაბალი ბეწვით)</t>
  </si>
  <si>
    <t>ფანკოილის მილების შესაფუთი ქეჩები (25ანი მილისთვის)</t>
  </si>
  <si>
    <t>შავი შესაფუთზე დასახვევი იზოლაცია</t>
  </si>
  <si>
    <t>იმპულსური რელები</t>
  </si>
  <si>
    <t>წებო ცემენტი kerakoli</t>
  </si>
  <si>
    <t>ტომარა</t>
  </si>
  <si>
    <t>იზოლაცია kerakoli</t>
  </si>
  <si>
    <t>ლაქი პრიალა</t>
  </si>
  <si>
    <t>Rooms</t>
  </si>
  <si>
    <t>Executive</t>
  </si>
  <si>
    <t>N.</t>
  </si>
  <si>
    <t>1904; 1907; 1910; 1917</t>
  </si>
  <si>
    <t>1903; 1906; 1908; 1912; 1916</t>
  </si>
  <si>
    <t>sq.m</t>
  </si>
  <si>
    <t>qt.</t>
  </si>
  <si>
    <t>amt.sq.m</t>
  </si>
  <si>
    <t>Sum</t>
  </si>
  <si>
    <t xml:space="preserve">Business </t>
  </si>
  <si>
    <t>Standard</t>
  </si>
  <si>
    <t>1902; 1905; 1909; 1911; 1914; 1915; 1918</t>
  </si>
  <si>
    <t>პროფილი უდე</t>
  </si>
  <si>
    <t>თეთრი საღებავი პანელისთვის (2,5 კგ)</t>
  </si>
  <si>
    <t xml:space="preserve">საფითხნი Knauf (სუფთა პირი) </t>
  </si>
  <si>
    <t>მაგიდების შავი საღებავი (2 კომპონენტიანი)</t>
  </si>
  <si>
    <t>პარანიტის სალნიკები 20-ანი ფირატის</t>
  </si>
  <si>
    <t>პეპელა 4-ანი საფარდისთვის (რკინის)</t>
  </si>
  <si>
    <t>აფიქსის თეთრი სილიკონი</t>
  </si>
  <si>
    <t>სისტას მაჭვირვალე სილიკონი</t>
  </si>
  <si>
    <t xml:space="preserve">აბაზანის ნიჟარის სიფონი </t>
  </si>
  <si>
    <t>ფიცარი (ლისტვენიცა, 2-ტიანი სიგანე)</t>
  </si>
  <si>
    <t xml:space="preserve"> </t>
  </si>
  <si>
    <t>1901; 1902; 1909; 1916; 1918</t>
  </si>
  <si>
    <t>1907; 1910</t>
  </si>
  <si>
    <t>material</t>
  </si>
  <si>
    <t>პარკეტის ფანერა (8ანი)</t>
  </si>
  <si>
    <t>დუბელ შურუფი (10ანი)</t>
  </si>
  <si>
    <t>სომხური პევეა (18 ლ)</t>
  </si>
  <si>
    <t>სვერლო პატარა პერფორატორისთვის (10ანი)</t>
  </si>
  <si>
    <t>ნაგვის დიდი ტომარა</t>
  </si>
  <si>
    <t>მაკლავიცა დიდი იზოლაციისთვის</t>
  </si>
  <si>
    <t>დასახელება</t>
  </si>
  <si>
    <t>პერფორატორი DeWalt პატარა</t>
  </si>
  <si>
    <t>პერფორატორი DeWalt დიდი</t>
  </si>
  <si>
    <t>აგური შხაპის ძირისთვის</t>
  </si>
  <si>
    <t>პარკეტის დაფის იატაკის დემონტაჟი (1901; 1902; 1907; 1909; 1910; 1916; 1918; 1919)</t>
  </si>
  <si>
    <t xml:space="preserve"> -</t>
  </si>
  <si>
    <t>რეზინის შუასადები სიფონისთვის</t>
  </si>
  <si>
    <t>ცემენტი</t>
  </si>
  <si>
    <t>ყვითელი საჩხერის ქვიშა</t>
  </si>
  <si>
    <t xml:space="preserve">ხალიჩა სართულისთვის </t>
  </si>
  <si>
    <t>კვ.მ.</t>
  </si>
  <si>
    <t>19 EURO</t>
  </si>
  <si>
    <t xml:space="preserve"> ~134</t>
  </si>
  <si>
    <t>კვ.მ</t>
  </si>
  <si>
    <t>პიკა პატარა პერფორატორისთვის (ბეტონის ასაფხეკი)</t>
  </si>
  <si>
    <t>კარის (209*83*4,5სმ) დაშპონვა შეღებვა (რესტავრაცია)</t>
  </si>
  <si>
    <t>კარის (209*70*4,5სმ) შეღებვა რესტავრაცია</t>
  </si>
  <si>
    <t>შეღებილი მდფ-ის პლინტუსი 15*1,6სმ</t>
  </si>
  <si>
    <t xml:space="preserve">ლომსაძე დ </t>
  </si>
  <si>
    <t>ნომრებში ხის იატაკის დემონტაჟი</t>
  </si>
  <si>
    <t>მურვანიძე კ</t>
  </si>
  <si>
    <t>აბაზანის იატაკის დემონტაჟი, აბაზანის ჭერის შეღებვა</t>
  </si>
  <si>
    <t>შემსრულებელი</t>
  </si>
  <si>
    <t>საგანი</t>
  </si>
  <si>
    <t>რაოდენობა</t>
  </si>
  <si>
    <t>მთლიანი ღირებულება</t>
  </si>
  <si>
    <t xml:space="preserve">სამუშაო </t>
  </si>
  <si>
    <t>მასალები</t>
  </si>
  <si>
    <t>ლარი</t>
  </si>
  <si>
    <t>იატაკის დაგება (ფანერის და პარკეტის მონტაჟი</t>
  </si>
  <si>
    <t>მალიარის დამხმარე</t>
  </si>
  <si>
    <t>ჯანგიძე გ</t>
  </si>
  <si>
    <t>დურგალი (პადონის და შუშის ძრების შეცვლა)</t>
  </si>
  <si>
    <t>19 სართული</t>
  </si>
  <si>
    <t xml:space="preserve"> - </t>
  </si>
  <si>
    <t>სართ.</t>
  </si>
  <si>
    <t>ფანჯრების სახელურების შემოწმება, შეკეთა</t>
  </si>
  <si>
    <t>მიშა</t>
  </si>
  <si>
    <t>ფანჯრების შემოწმება, შეკეთება</t>
  </si>
  <si>
    <t>ვალუტა</t>
  </si>
  <si>
    <t>ხალიჩა</t>
  </si>
  <si>
    <t>ჯამი</t>
  </si>
  <si>
    <t>იახტლაქი (5-ანი კგ შუშის ძირების და პადონისთვის)</t>
  </si>
  <si>
    <t>შხაპის კაბინის დამზადება 1901</t>
  </si>
  <si>
    <t xml:space="preserve"> ველოდებით ფასს</t>
  </si>
  <si>
    <t>გატეხილი სარკეების შეცვლა</t>
  </si>
  <si>
    <t>1901; 1916</t>
  </si>
  <si>
    <t>1902; 1909</t>
  </si>
  <si>
    <t>114x2.42</t>
  </si>
  <si>
    <t>11x2.42</t>
  </si>
  <si>
    <t>total cost</t>
  </si>
  <si>
    <t>2*11x2.42                                2*114x2.42</t>
  </si>
  <si>
    <t>PAYMENT STATUS</t>
  </si>
  <si>
    <t>UNPAID</t>
  </si>
  <si>
    <t>PAID</t>
  </si>
  <si>
    <t>CONDITION</t>
  </si>
  <si>
    <t>IN PROCESS</t>
  </si>
  <si>
    <t>DONE</t>
  </si>
  <si>
    <t xml:space="preserve">HI STAFF </t>
  </si>
  <si>
    <t>ინვოისს ველოდებით</t>
  </si>
  <si>
    <t>რაოდენობა დასაზუსტებელია</t>
  </si>
  <si>
    <t>COMMENT</t>
  </si>
  <si>
    <t>სმესი</t>
  </si>
  <si>
    <t>პატარა პერფორატორის 10-ანი სვერლო</t>
  </si>
  <si>
    <t>2 კომპონენტიანი ფუგა</t>
  </si>
  <si>
    <t>კგ.</t>
  </si>
  <si>
    <t>პატარა ბალგარკის დიდი შკურკის ფხრიწი</t>
  </si>
  <si>
    <t>ნათურა 12W ვიცი ნათებით</t>
  </si>
  <si>
    <t>ლურსმანი</t>
  </si>
  <si>
    <t>შურუფი 35-ანი</t>
  </si>
  <si>
    <t>შურუფი 40-ანი</t>
  </si>
  <si>
    <t>ფუგა შავი 1 კომპონენტიანი</t>
  </si>
  <si>
    <t>რაოდენობა დაემატება</t>
  </si>
  <si>
    <t>unpaid</t>
  </si>
  <si>
    <t>paid</t>
  </si>
  <si>
    <t>კვ მ</t>
  </si>
  <si>
    <t>პარკეტის დაგება executive</t>
  </si>
  <si>
    <t>N</t>
  </si>
  <si>
    <t>პარკეტი მუხის executive</t>
  </si>
  <si>
    <t xml:space="preserve">ლაქი იატაკის </t>
  </si>
  <si>
    <t xml:space="preserve">ფანერა </t>
  </si>
  <si>
    <t>პლინტუსი</t>
  </si>
  <si>
    <t>ლოგინის გვერდითა ტუმბოები</t>
  </si>
  <si>
    <t>ტელევიზორის სადგამი მაგიდა</t>
  </si>
  <si>
    <t>დუში დიდი</t>
  </si>
  <si>
    <t>დუში პატარა</t>
  </si>
  <si>
    <t>შემრევი ონკანი</t>
  </si>
  <si>
    <t>ARTEMIDE სანათი დიდი</t>
  </si>
  <si>
    <t>ARTEMIDE სანათი პატარა</t>
  </si>
  <si>
    <t>EXECUTIVE ROOM</t>
  </si>
  <si>
    <t>STANDARD ROOM</t>
  </si>
  <si>
    <t>პარკეტის დაგება standard</t>
  </si>
  <si>
    <t>პარკეტი მუხის standard</t>
  </si>
  <si>
    <t>ღირებულება (ლარი)</t>
  </si>
  <si>
    <t>ლიტრი</t>
  </si>
  <si>
    <t>ერთ ღირებ</t>
  </si>
  <si>
    <t xml:space="preserve">კარი ოთახის </t>
  </si>
  <si>
    <t>კარი აბაზანის</t>
  </si>
  <si>
    <t>სამღებრო სამუშაოები</t>
  </si>
  <si>
    <t>ლტ</t>
  </si>
  <si>
    <t>საღებავი stocolor</t>
  </si>
  <si>
    <t>CORRIDOR</t>
  </si>
  <si>
    <t>ხალიჩა LANO</t>
  </si>
  <si>
    <t>14 standard X 10,513=147,182</t>
  </si>
  <si>
    <t xml:space="preserve"> 4 executive x 13,715=54,860</t>
  </si>
  <si>
    <t>standard room</t>
  </si>
  <si>
    <t>executive room</t>
  </si>
  <si>
    <t>corridor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</si>
</sst>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7" x14ac:knownFonts="1">
    <font>
      <sz val="10"/>
      <color rgb="FF000000"/>
      <name val="Times New Roman"/>
      <charset val="204"/>
    </font>
    <font>
      <sz val="10"/>
      <name val="Sylfaen"/>
      <family val="1"/>
    </font>
    <font>
      <sz val="9"/>
      <name val="Sylfaen"/>
      <family val="1"/>
    </font>
    <font>
      <sz val="10"/>
      <color rgb="FF000000"/>
      <name val="Sylfaen"/>
      <family val="2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Calibri"/>
      <family val="2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Sylfaen"/>
      <family val="2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6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26"/>
      <color rgb="FF00000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22"/>
      <color rgb="FF000000"/>
      <name val="Times New Roman"/>
      <family val="1"/>
    </font>
    <font>
      <sz val="11"/>
      <name val="Sylfaen"/>
      <family val="1"/>
    </font>
    <font>
      <sz val="11"/>
      <color rgb="FF000000"/>
      <name val="Times New Roman"/>
      <family val="1"/>
    </font>
    <font>
      <sz val="11"/>
      <color rgb="FF000000"/>
      <name val="Sylfaen"/>
      <family val="2"/>
    </font>
    <font>
      <sz val="11"/>
      <name val="Times New Roman"/>
      <family val="1"/>
    </font>
    <font>
      <b/>
      <sz val="14"/>
      <color rgb="FFFF0000"/>
      <name val="Times New Roman"/>
      <family val="1"/>
    </font>
    <font>
      <b/>
      <sz val="16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43" fontId="9" fillId="0" borderId="0" applyFont="0" applyFill="0" applyBorder="0" applyAlignment="0" applyProtection="0"/>
  </cellStyleXfs>
  <cellXfs count="168"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top"/>
    </xf>
    <xf numFmtId="0" fontId="5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top"/>
    </xf>
    <xf numFmtId="0" fontId="0" fillId="0" borderId="5" xfId="0" applyBorder="1" applyAlignment="1">
      <alignment horizontal="left" vertical="top"/>
    </xf>
    <xf numFmtId="0" fontId="5" fillId="2" borderId="5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4" fillId="0" borderId="5" xfId="0" applyFont="1" applyBorder="1" applyAlignment="1">
      <alignment horizontal="left" vertical="top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3" fillId="0" borderId="5" xfId="0" applyNumberFormat="1" applyFont="1" applyBorder="1" applyAlignment="1">
      <alignment horizontal="center" vertical="top" shrinkToFit="1"/>
    </xf>
    <xf numFmtId="0" fontId="4" fillId="0" borderId="0" xfId="0" applyFont="1" applyAlignment="1">
      <alignment horizontal="right" vertical="top"/>
    </xf>
    <xf numFmtId="1" fontId="3" fillId="0" borderId="0" xfId="0" applyNumberFormat="1" applyFont="1" applyAlignment="1">
      <alignment horizontal="center" vertical="top" shrinkToFit="1"/>
    </xf>
    <xf numFmtId="0" fontId="5" fillId="0" borderId="0" xfId="0" applyFont="1" applyAlignment="1">
      <alignment horizontal="left" wrapText="1"/>
    </xf>
    <xf numFmtId="0" fontId="5" fillId="0" borderId="5" xfId="1" applyBorder="1"/>
    <xf numFmtId="0" fontId="5" fillId="0" borderId="0" xfId="1"/>
    <xf numFmtId="0" fontId="2" fillId="0" borderId="1" xfId="1" applyFont="1" applyBorder="1" applyAlignment="1">
      <alignment horizontal="center" vertical="top" wrapText="1"/>
    </xf>
    <xf numFmtId="0" fontId="5" fillId="0" borderId="5" xfId="1" applyBorder="1" applyAlignment="1">
      <alignment vertical="center"/>
    </xf>
    <xf numFmtId="0" fontId="5" fillId="0" borderId="2" xfId="1" applyBorder="1" applyAlignment="1">
      <alignment horizontal="left" wrapText="1"/>
    </xf>
    <xf numFmtId="1" fontId="3" fillId="0" borderId="2" xfId="1" applyNumberFormat="1" applyFont="1" applyBorder="1" applyAlignment="1">
      <alignment horizontal="center" vertical="top" shrinkToFit="1"/>
    </xf>
    <xf numFmtId="0" fontId="5" fillId="0" borderId="6" xfId="1" applyBorder="1" applyAlignment="1">
      <alignment vertical="center"/>
    </xf>
    <xf numFmtId="0" fontId="5" fillId="0" borderId="5" xfId="1" applyBorder="1" applyAlignment="1">
      <alignment horizontal="center" vertical="center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left" vertical="top" wrapText="1"/>
    </xf>
    <xf numFmtId="0" fontId="4" fillId="0" borderId="5" xfId="0" applyFont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1" applyFont="1"/>
    <xf numFmtId="0" fontId="5" fillId="0" borderId="0" xfId="0" applyFont="1" applyAlignment="1">
      <alignment horizontal="left" vertical="top"/>
    </xf>
    <xf numFmtId="0" fontId="0" fillId="0" borderId="5" xfId="0" applyBorder="1" applyAlignment="1">
      <alignment horizontal="right" vertical="top"/>
    </xf>
    <xf numFmtId="0" fontId="4" fillId="0" borderId="5" xfId="0" applyFont="1" applyBorder="1" applyAlignment="1">
      <alignment horizontal="right" vertical="top"/>
    </xf>
    <xf numFmtId="0" fontId="5" fillId="0" borderId="0" xfId="0" applyFont="1" applyAlignment="1">
      <alignment horizontal="center" vertical="top"/>
    </xf>
    <xf numFmtId="0" fontId="0" fillId="0" borderId="5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5" xfId="0" applyFont="1" applyBorder="1" applyAlignment="1">
      <alignment horizontal="center" wrapText="1"/>
    </xf>
    <xf numFmtId="0" fontId="0" fillId="2" borderId="5" xfId="0" applyFill="1" applyBorder="1" applyAlignment="1">
      <alignment horizontal="left" vertical="top"/>
    </xf>
    <xf numFmtId="0" fontId="0" fillId="4" borderId="5" xfId="0" applyFill="1" applyBorder="1" applyAlignment="1">
      <alignment horizontal="center" vertical="top"/>
    </xf>
    <xf numFmtId="0" fontId="0" fillId="4" borderId="5" xfId="0" applyFill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top" shrinkToFi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top"/>
    </xf>
    <xf numFmtId="1" fontId="10" fillId="0" borderId="1" xfId="0" applyNumberFormat="1" applyFont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wrapText="1"/>
    </xf>
    <xf numFmtId="1" fontId="10" fillId="0" borderId="2" xfId="0" applyNumberFormat="1" applyFont="1" applyBorder="1" applyAlignment="1">
      <alignment horizontal="center" vertical="top" shrinkToFit="1"/>
    </xf>
    <xf numFmtId="0" fontId="11" fillId="0" borderId="2" xfId="0" applyFont="1" applyBorder="1" applyAlignment="1">
      <alignment horizontal="left" wrapText="1"/>
    </xf>
    <xf numFmtId="1" fontId="10" fillId="0" borderId="5" xfId="0" applyNumberFormat="1" applyFont="1" applyBorder="1" applyAlignment="1">
      <alignment horizontal="center" vertical="top" shrinkToFit="1"/>
    </xf>
    <xf numFmtId="0" fontId="11" fillId="0" borderId="5" xfId="0" applyFont="1" applyBorder="1" applyAlignment="1">
      <alignment horizontal="left" wrapText="1"/>
    </xf>
    <xf numFmtId="0" fontId="11" fillId="0" borderId="5" xfId="0" applyFont="1" applyBorder="1" applyAlignment="1">
      <alignment horizontal="center" vertical="center" wrapText="1"/>
    </xf>
    <xf numFmtId="2" fontId="11" fillId="0" borderId="5" xfId="0" applyNumberFormat="1" applyFont="1" applyBorder="1" applyAlignment="1">
      <alignment horizontal="center" vertical="center" wrapText="1"/>
    </xf>
    <xf numFmtId="43" fontId="0" fillId="0" borderId="5" xfId="2" applyFont="1" applyFill="1" applyBorder="1" applyAlignment="1">
      <alignment horizontal="right" vertical="top"/>
    </xf>
    <xf numFmtId="0" fontId="11" fillId="5" borderId="1" xfId="0" applyFont="1" applyFill="1" applyBorder="1" applyAlignment="1">
      <alignment horizontal="left" wrapText="1"/>
    </xf>
    <xf numFmtId="0" fontId="11" fillId="5" borderId="5" xfId="0" applyFont="1" applyFill="1" applyBorder="1" applyAlignment="1">
      <alignment horizontal="center" vertical="center" wrapText="1"/>
    </xf>
    <xf numFmtId="43" fontId="12" fillId="5" borderId="0" xfId="2" applyFont="1" applyFill="1" applyBorder="1" applyAlignment="1">
      <alignment horizontal="right" vertical="top"/>
    </xf>
    <xf numFmtId="0" fontId="0" fillId="5" borderId="0" xfId="0" applyFill="1" applyAlignment="1">
      <alignment horizontal="left" vertical="top"/>
    </xf>
    <xf numFmtId="0" fontId="11" fillId="0" borderId="3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5" borderId="3" xfId="0" applyFont="1" applyFill="1" applyBorder="1" applyAlignment="1">
      <alignment horizontal="left" wrapText="1"/>
    </xf>
    <xf numFmtId="0" fontId="11" fillId="5" borderId="2" xfId="0" applyFont="1" applyFill="1" applyBorder="1" applyAlignment="1">
      <alignment horizontal="left" wrapText="1"/>
    </xf>
    <xf numFmtId="0" fontId="11" fillId="5" borderId="5" xfId="0" applyFont="1" applyFill="1" applyBorder="1" applyAlignment="1">
      <alignment horizontal="left" wrapText="1"/>
    </xf>
    <xf numFmtId="2" fontId="11" fillId="5" borderId="1" xfId="0" applyNumberFormat="1" applyFont="1" applyFill="1" applyBorder="1" applyAlignment="1">
      <alignment horizontal="left" wrapText="1"/>
    </xf>
    <xf numFmtId="2" fontId="11" fillId="5" borderId="1" xfId="0" applyNumberFormat="1" applyFont="1" applyFill="1" applyBorder="1" applyAlignment="1">
      <alignment horizontal="left" vertical="center" wrapText="1"/>
    </xf>
    <xf numFmtId="2" fontId="11" fillId="5" borderId="5" xfId="0" applyNumberFormat="1" applyFont="1" applyFill="1" applyBorder="1" applyAlignment="1">
      <alignment horizontal="left" vertical="center" wrapText="1"/>
    </xf>
    <xf numFmtId="43" fontId="0" fillId="0" borderId="0" xfId="2" applyFont="1" applyFill="1" applyBorder="1" applyAlignment="1">
      <alignment horizontal="left" vertical="top"/>
    </xf>
    <xf numFmtId="43" fontId="13" fillId="0" borderId="0" xfId="2" applyFont="1" applyFill="1" applyBorder="1" applyAlignment="1">
      <alignment horizontal="left" vertical="top"/>
    </xf>
    <xf numFmtId="43" fontId="14" fillId="0" borderId="0" xfId="2" applyFont="1" applyFill="1" applyBorder="1" applyAlignment="1">
      <alignment horizontal="left" vertical="top"/>
    </xf>
    <xf numFmtId="43" fontId="15" fillId="0" borderId="0" xfId="2" applyFont="1" applyFill="1" applyBorder="1" applyAlignment="1">
      <alignment horizontal="left" vertical="top"/>
    </xf>
    <xf numFmtId="1" fontId="10" fillId="5" borderId="5" xfId="0" applyNumberFormat="1" applyFont="1" applyFill="1" applyBorder="1" applyAlignment="1">
      <alignment horizontal="center" vertical="center" shrinkToFit="1"/>
    </xf>
    <xf numFmtId="0" fontId="11" fillId="5" borderId="5" xfId="0" applyFont="1" applyFill="1" applyBorder="1" applyAlignment="1">
      <alignment horizontal="center" wrapText="1"/>
    </xf>
    <xf numFmtId="1" fontId="10" fillId="0" borderId="3" xfId="0" applyNumberFormat="1" applyFont="1" applyBorder="1" applyAlignment="1">
      <alignment horizontal="center" vertical="top" shrinkToFit="1"/>
    </xf>
    <xf numFmtId="0" fontId="11" fillId="0" borderId="3" xfId="0" applyFont="1" applyBorder="1" applyAlignment="1">
      <alignment horizontal="center" vertical="center" wrapText="1"/>
    </xf>
    <xf numFmtId="2" fontId="11" fillId="5" borderId="3" xfId="0" applyNumberFormat="1" applyFont="1" applyFill="1" applyBorder="1" applyAlignment="1">
      <alignment horizontal="left" wrapText="1"/>
    </xf>
    <xf numFmtId="0" fontId="0" fillId="5" borderId="5" xfId="0" applyFill="1" applyBorder="1" applyAlignment="1">
      <alignment horizontal="left" vertical="top"/>
    </xf>
    <xf numFmtId="0" fontId="2" fillId="0" borderId="5" xfId="0" applyFont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 wrapText="1"/>
    </xf>
    <xf numFmtId="1" fontId="3" fillId="5" borderId="5" xfId="0" applyNumberFormat="1" applyFont="1" applyFill="1" applyBorder="1" applyAlignment="1">
      <alignment horizontal="center" vertical="top" shrinkToFit="1"/>
    </xf>
    <xf numFmtId="0" fontId="4" fillId="0" borderId="0" xfId="0" applyFont="1" applyAlignment="1">
      <alignment horizontal="left" vertical="top"/>
    </xf>
    <xf numFmtId="0" fontId="11" fillId="5" borderId="6" xfId="0" applyFont="1" applyFill="1" applyBorder="1" applyAlignment="1">
      <alignment horizontal="left" wrapText="1"/>
    </xf>
    <xf numFmtId="0" fontId="0" fillId="0" borderId="11" xfId="0" applyBorder="1" applyAlignment="1">
      <alignment horizontal="left" wrapText="1"/>
    </xf>
    <xf numFmtId="1" fontId="3" fillId="0" borderId="11" xfId="0" applyNumberFormat="1" applyFont="1" applyBorder="1" applyAlignment="1">
      <alignment horizontal="center" vertical="top" shrinkToFit="1"/>
    </xf>
    <xf numFmtId="0" fontId="0" fillId="5" borderId="11" xfId="0" applyFill="1" applyBorder="1" applyAlignment="1">
      <alignment horizontal="left" vertical="top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top"/>
    </xf>
    <xf numFmtId="0" fontId="0" fillId="0" borderId="11" xfId="0" applyBorder="1" applyAlignment="1">
      <alignment horizontal="center" wrapText="1"/>
    </xf>
    <xf numFmtId="0" fontId="5" fillId="5" borderId="11" xfId="0" applyFont="1" applyFill="1" applyBorder="1" applyAlignment="1">
      <alignment horizontal="left" vertical="top"/>
    </xf>
    <xf numFmtId="1" fontId="3" fillId="0" borderId="11" xfId="0" applyNumberFormat="1" applyFont="1" applyBorder="1" applyAlignment="1">
      <alignment horizontal="center" vertical="center" shrinkToFit="1"/>
    </xf>
    <xf numFmtId="0" fontId="5" fillId="0" borderId="11" xfId="0" applyFont="1" applyBorder="1" applyAlignment="1">
      <alignment horizontal="left" wrapText="1"/>
    </xf>
    <xf numFmtId="0" fontId="8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left" wrapText="1"/>
    </xf>
    <xf numFmtId="0" fontId="4" fillId="5" borderId="11" xfId="0" applyFont="1" applyFill="1" applyBorder="1" applyAlignment="1">
      <alignment horizontal="left" vertical="top"/>
    </xf>
    <xf numFmtId="0" fontId="5" fillId="0" borderId="11" xfId="0" applyFont="1" applyBorder="1" applyAlignment="1">
      <alignment horizontal="center" wrapText="1"/>
    </xf>
    <xf numFmtId="0" fontId="7" fillId="0" borderId="11" xfId="0" applyFont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left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top"/>
    </xf>
    <xf numFmtId="0" fontId="7" fillId="0" borderId="11" xfId="0" applyFont="1" applyBorder="1" applyAlignment="1">
      <alignment horizontal="left" wrapText="1"/>
    </xf>
    <xf numFmtId="0" fontId="11" fillId="5" borderId="12" xfId="0" applyFont="1" applyFill="1" applyBorder="1" applyAlignment="1">
      <alignment horizontal="left" wrapText="1"/>
    </xf>
    <xf numFmtId="0" fontId="0" fillId="0" borderId="13" xfId="0" applyBorder="1" applyAlignment="1">
      <alignment horizontal="left" wrapText="1"/>
    </xf>
    <xf numFmtId="1" fontId="3" fillId="0" borderId="13" xfId="0" applyNumberFormat="1" applyFont="1" applyBorder="1" applyAlignment="1">
      <alignment horizontal="center" vertical="top" shrinkToFit="1"/>
    </xf>
    <xf numFmtId="43" fontId="12" fillId="0" borderId="0" xfId="2" applyFont="1" applyBorder="1" applyAlignment="1">
      <alignment horizontal="right" vertical="top"/>
    </xf>
    <xf numFmtId="0" fontId="17" fillId="0" borderId="0" xfId="0" applyFont="1" applyAlignment="1">
      <alignment vertical="top"/>
    </xf>
    <xf numFmtId="0" fontId="5" fillId="7" borderId="0" xfId="1" applyFill="1"/>
    <xf numFmtId="0" fontId="18" fillId="8" borderId="0" xfId="1" applyFont="1" applyFill="1"/>
    <xf numFmtId="0" fontId="16" fillId="0" borderId="0" xfId="0" applyFont="1" applyAlignment="1">
      <alignment horizontal="left" vertical="top"/>
    </xf>
    <xf numFmtId="0" fontId="21" fillId="0" borderId="23" xfId="0" applyFont="1" applyBorder="1" applyAlignment="1">
      <alignment horizontal="center" vertical="top" wrapText="1"/>
    </xf>
    <xf numFmtId="0" fontId="21" fillId="6" borderId="23" xfId="0" applyFont="1" applyFill="1" applyBorder="1" applyAlignment="1">
      <alignment horizontal="center" vertical="top" wrapText="1"/>
    </xf>
    <xf numFmtId="0" fontId="21" fillId="0" borderId="25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left" wrapText="1"/>
    </xf>
    <xf numFmtId="1" fontId="23" fillId="0" borderId="13" xfId="0" applyNumberFormat="1" applyFont="1" applyBorder="1" applyAlignment="1">
      <alignment horizontal="center" vertical="top" shrinkToFit="1"/>
    </xf>
    <xf numFmtId="1" fontId="23" fillId="0" borderId="11" xfId="0" applyNumberFormat="1" applyFont="1" applyBorder="1" applyAlignment="1">
      <alignment horizontal="center" vertical="top" shrinkToFit="1"/>
    </xf>
    <xf numFmtId="0" fontId="22" fillId="0" borderId="11" xfId="0" applyFont="1" applyBorder="1" applyAlignment="1">
      <alignment horizontal="left" wrapText="1"/>
    </xf>
    <xf numFmtId="0" fontId="22" fillId="0" borderId="11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top"/>
    </xf>
    <xf numFmtId="0" fontId="22" fillId="0" borderId="11" xfId="0" applyFont="1" applyBorder="1" applyAlignment="1">
      <alignment horizontal="center" wrapText="1"/>
    </xf>
    <xf numFmtId="1" fontId="23" fillId="0" borderId="11" xfId="0" applyNumberFormat="1" applyFont="1" applyBorder="1" applyAlignment="1">
      <alignment horizontal="center" vertical="center" shrinkToFit="1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horizontal="left" vertical="top"/>
    </xf>
    <xf numFmtId="0" fontId="24" fillId="0" borderId="11" xfId="0" applyFont="1" applyBorder="1" applyAlignment="1">
      <alignment horizontal="center" vertical="center" wrapText="1"/>
    </xf>
    <xf numFmtId="0" fontId="20" fillId="4" borderId="14" xfId="0" applyFont="1" applyFill="1" applyBorder="1" applyAlignment="1">
      <alignment horizontal="center" vertical="top"/>
    </xf>
    <xf numFmtId="0" fontId="20" fillId="4" borderId="15" xfId="0" applyFont="1" applyFill="1" applyBorder="1" applyAlignment="1">
      <alignment horizontal="center" vertical="top"/>
    </xf>
    <xf numFmtId="0" fontId="20" fillId="4" borderId="16" xfId="0" applyFont="1" applyFill="1" applyBorder="1" applyAlignment="1">
      <alignment horizontal="center" vertical="top"/>
    </xf>
    <xf numFmtId="0" fontId="20" fillId="4" borderId="17" xfId="0" applyFont="1" applyFill="1" applyBorder="1" applyAlignment="1">
      <alignment horizontal="center" vertical="top"/>
    </xf>
    <xf numFmtId="0" fontId="20" fillId="4" borderId="18" xfId="0" applyFont="1" applyFill="1" applyBorder="1" applyAlignment="1">
      <alignment horizontal="center" vertical="top"/>
    </xf>
    <xf numFmtId="0" fontId="20" fillId="4" borderId="19" xfId="0" applyFont="1" applyFill="1" applyBorder="1" applyAlignment="1">
      <alignment horizontal="center" vertical="top"/>
    </xf>
    <xf numFmtId="0" fontId="21" fillId="0" borderId="20" xfId="0" applyFont="1" applyBorder="1" applyAlignment="1">
      <alignment horizontal="center" vertical="center" wrapText="1"/>
    </xf>
    <xf numFmtId="0" fontId="21" fillId="0" borderId="22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left" vertical="top" wrapText="1" indent="1"/>
    </xf>
    <xf numFmtId="0" fontId="21" fillId="0" borderId="23" xfId="0" applyFont="1" applyBorder="1" applyAlignment="1">
      <alignment horizontal="left" vertical="top" wrapText="1" indent="1"/>
    </xf>
    <xf numFmtId="0" fontId="21" fillId="0" borderId="21" xfId="0" applyFont="1" applyBorder="1" applyAlignment="1">
      <alignment horizontal="left" vertical="top" wrapText="1" indent="2"/>
    </xf>
    <xf numFmtId="0" fontId="21" fillId="0" borderId="23" xfId="0" applyFont="1" applyBorder="1" applyAlignment="1">
      <alignment horizontal="left" vertical="top" wrapText="1" indent="2"/>
    </xf>
    <xf numFmtId="0" fontId="21" fillId="0" borderId="21" xfId="0" applyFont="1" applyBorder="1" applyAlignment="1">
      <alignment horizontal="left" vertical="top" wrapText="1" indent="4"/>
    </xf>
    <xf numFmtId="0" fontId="21" fillId="0" borderId="21" xfId="0" applyFont="1" applyBorder="1" applyAlignment="1">
      <alignment horizontal="left" vertical="top" wrapText="1" indent="3"/>
    </xf>
    <xf numFmtId="0" fontId="21" fillId="0" borderId="24" xfId="0" applyFont="1" applyBorder="1" applyAlignment="1">
      <alignment horizontal="left" vertical="top" wrapText="1" indent="3"/>
    </xf>
    <xf numFmtId="0" fontId="0" fillId="0" borderId="7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12" fillId="5" borderId="0" xfId="0" applyFont="1" applyFill="1" applyAlignment="1">
      <alignment horizontal="center" wrapText="1"/>
    </xf>
    <xf numFmtId="0" fontId="2" fillId="0" borderId="5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3"/>
    </xf>
    <xf numFmtId="0" fontId="1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4"/>
    </xf>
    <xf numFmtId="0" fontId="4" fillId="0" borderId="5" xfId="0" applyFont="1" applyBorder="1" applyAlignment="1">
      <alignment horizontal="left" vertical="top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  <xf numFmtId="0" fontId="2" fillId="0" borderId="2" xfId="1" applyFont="1" applyBorder="1" applyAlignment="1">
      <alignment horizontal="left" vertical="top" wrapText="1" indent="1"/>
    </xf>
    <xf numFmtId="0" fontId="2" fillId="0" borderId="3" xfId="1" applyFont="1" applyBorder="1" applyAlignment="1">
      <alignment horizontal="left" vertical="top" wrapText="1" indent="1"/>
    </xf>
    <xf numFmtId="0" fontId="2" fillId="0" borderId="4" xfId="1" applyFont="1" applyBorder="1" applyAlignment="1">
      <alignment horizontal="left" vertical="top" wrapText="1" indent="4"/>
    </xf>
    <xf numFmtId="0" fontId="2" fillId="0" borderId="8" xfId="1" applyFont="1" applyBorder="1" applyAlignment="1">
      <alignment horizontal="left" vertical="top" wrapText="1" indent="4"/>
    </xf>
    <xf numFmtId="0" fontId="22" fillId="0" borderId="11" xfId="0" applyFont="1" applyFill="1" applyBorder="1" applyAlignment="1">
      <alignment horizontal="center" vertical="center" wrapText="1"/>
    </xf>
    <xf numFmtId="0" fontId="24" fillId="0" borderId="11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left" vertical="top"/>
    </xf>
    <xf numFmtId="43" fontId="25" fillId="0" borderId="0" xfId="2" applyFont="1" applyBorder="1" applyAlignment="1">
      <alignment horizontal="right" vertical="top"/>
    </xf>
    <xf numFmtId="3" fontId="22" fillId="0" borderId="11" xfId="0" applyNumberFormat="1" applyFont="1" applyBorder="1" applyAlignment="1">
      <alignment horizontal="center" vertical="center" wrapText="1"/>
    </xf>
    <xf numFmtId="3" fontId="22" fillId="0" borderId="11" xfId="0" applyNumberFormat="1" applyFont="1" applyBorder="1" applyAlignment="1">
      <alignment horizontal="center" vertical="center"/>
    </xf>
  </cellXfs>
  <cellStyles count="3">
    <cellStyle name="Comma" xfId="2" builtinId="3"/>
    <cellStyle name="Normal" xfId="0" builtinId="0"/>
    <cellStyle name="Normal 2" xfId="1" xr:uid="{6D12F5D7-D877-4956-814A-9AB802FB3CEF}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ta Osanadze" id="{40408DDD-9DFD-45B3-BF5E-0B413AA0D063}" userId="S::nata.osanadze@hi-tbilisi.com::fd186486-49a7-4adf-b8cb-723e8eaf019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1" dT="2022-11-17T13:17:01.57" personId="{40408DDD-9DFD-45B3-BF5E-0B413AA0D063}" id="{D56B9667-3707-4423-ADF5-E11B84455F86}">
    <text>2 აღებულია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E3929-F9D6-4478-B08A-BF270A1837CD}">
  <sheetPr>
    <tabColor theme="1" tint="0.249977111117893"/>
  </sheetPr>
  <dimension ref="A1:K142"/>
  <sheetViews>
    <sheetView showGridLines="0" topLeftCell="A4" zoomScale="80" zoomScaleNormal="80" workbookViewId="0">
      <selection activeCell="F22" sqref="F22"/>
    </sheetView>
  </sheetViews>
  <sheetFormatPr defaultRowHeight="12.75" x14ac:dyDescent="0.2"/>
  <cols>
    <col min="1" max="1" width="3.6640625" customWidth="1"/>
    <col min="2" max="2" width="34.33203125" customWidth="1"/>
    <col min="3" max="5" width="15.83203125" customWidth="1"/>
    <col min="6" max="6" width="20" customWidth="1"/>
    <col min="7" max="8" width="15.83203125" customWidth="1"/>
    <col min="9" max="9" width="14.5" customWidth="1"/>
    <col min="10" max="10" width="14.33203125" customWidth="1"/>
    <col min="11" max="11" width="20.5" bestFit="1" customWidth="1"/>
    <col min="12" max="13" width="15.83203125" customWidth="1"/>
  </cols>
  <sheetData>
    <row r="1" spans="1:11" ht="12.75" customHeight="1" x14ac:dyDescent="0.2">
      <c r="A1" s="126" t="s">
        <v>201</v>
      </c>
      <c r="B1" s="127"/>
      <c r="C1" s="127"/>
      <c r="D1" s="127"/>
      <c r="E1" s="127"/>
      <c r="F1" s="127"/>
      <c r="G1" s="127"/>
      <c r="H1" s="127"/>
      <c r="I1" s="127"/>
      <c r="J1" s="128"/>
      <c r="K1" s="108"/>
    </row>
    <row r="2" spans="1:11" ht="23.25" customHeight="1" thickBot="1" x14ac:dyDescent="0.25">
      <c r="A2" s="129"/>
      <c r="B2" s="130"/>
      <c r="C2" s="130"/>
      <c r="D2" s="130"/>
      <c r="E2" s="130"/>
      <c r="F2" s="130"/>
      <c r="G2" s="130"/>
      <c r="H2" s="130"/>
      <c r="I2" s="130"/>
      <c r="J2" s="131"/>
      <c r="K2" s="108"/>
    </row>
    <row r="3" spans="1:11" ht="16.5" customHeight="1" x14ac:dyDescent="0.2">
      <c r="A3" s="132" t="s">
        <v>188</v>
      </c>
      <c r="B3" s="134" t="s">
        <v>41</v>
      </c>
      <c r="C3" s="136"/>
      <c r="D3" s="138" t="s">
        <v>135</v>
      </c>
      <c r="E3" s="140"/>
      <c r="F3" s="140"/>
      <c r="G3" s="138"/>
      <c r="H3" s="138"/>
      <c r="I3" s="141"/>
      <c r="J3" s="142"/>
    </row>
    <row r="4" spans="1:11" ht="30.75" customHeight="1" thickBot="1" x14ac:dyDescent="0.25">
      <c r="A4" s="133"/>
      <c r="B4" s="135"/>
      <c r="C4" s="137"/>
      <c r="D4" s="139"/>
      <c r="E4" s="112" t="s">
        <v>206</v>
      </c>
      <c r="F4" s="113" t="s">
        <v>204</v>
      </c>
      <c r="G4" s="112"/>
      <c r="H4" s="112"/>
      <c r="I4" s="112"/>
      <c r="J4" s="114"/>
    </row>
    <row r="5" spans="1:11" ht="16.5" customHeight="1" x14ac:dyDescent="0.25">
      <c r="A5" s="115"/>
      <c r="B5" s="116">
        <v>2</v>
      </c>
      <c r="C5" s="116">
        <v>3</v>
      </c>
      <c r="D5" s="116">
        <v>4</v>
      </c>
      <c r="E5" s="116">
        <v>5</v>
      </c>
      <c r="F5" s="116">
        <v>6</v>
      </c>
      <c r="G5" s="116">
        <v>7</v>
      </c>
      <c r="H5" s="116">
        <v>8</v>
      </c>
      <c r="I5" s="116">
        <v>9</v>
      </c>
      <c r="J5" s="116">
        <v>10</v>
      </c>
    </row>
    <row r="6" spans="1:11" ht="24.95" customHeight="1" x14ac:dyDescent="0.25">
      <c r="A6" s="117">
        <v>1</v>
      </c>
      <c r="B6" s="118" t="s">
        <v>202</v>
      </c>
      <c r="C6" s="119" t="s">
        <v>186</v>
      </c>
      <c r="D6" s="120">
        <v>18</v>
      </c>
      <c r="E6" s="119">
        <v>45</v>
      </c>
      <c r="F6" s="161">
        <v>810</v>
      </c>
      <c r="G6" s="118"/>
      <c r="H6" s="118"/>
      <c r="I6" s="118"/>
      <c r="J6" s="118"/>
    </row>
    <row r="7" spans="1:11" ht="24.95" customHeight="1" x14ac:dyDescent="0.25">
      <c r="A7" s="122">
        <v>2</v>
      </c>
      <c r="B7" s="118" t="s">
        <v>203</v>
      </c>
      <c r="C7" s="119" t="s">
        <v>186</v>
      </c>
      <c r="D7" s="119">
        <v>18</v>
      </c>
      <c r="E7" s="119">
        <v>140</v>
      </c>
      <c r="F7" s="161">
        <v>2520</v>
      </c>
      <c r="G7" s="118"/>
      <c r="H7" s="118"/>
      <c r="I7" s="118"/>
      <c r="J7" s="118"/>
    </row>
    <row r="8" spans="1:11" ht="24.95" customHeight="1" x14ac:dyDescent="0.25">
      <c r="A8" s="117">
        <v>3</v>
      </c>
      <c r="B8" s="118" t="s">
        <v>190</v>
      </c>
      <c r="C8" s="119" t="s">
        <v>205</v>
      </c>
      <c r="D8" s="119">
        <v>6</v>
      </c>
      <c r="E8" s="121">
        <v>73</v>
      </c>
      <c r="F8" s="161">
        <v>438</v>
      </c>
      <c r="G8" s="118"/>
      <c r="H8" s="118"/>
      <c r="I8" s="118"/>
      <c r="J8" s="118"/>
    </row>
    <row r="9" spans="1:11" ht="24.95" customHeight="1" x14ac:dyDescent="0.25">
      <c r="A9" s="117">
        <v>4</v>
      </c>
      <c r="B9" s="118" t="s">
        <v>191</v>
      </c>
      <c r="C9" s="119" t="s">
        <v>44</v>
      </c>
      <c r="D9" s="121">
        <v>7</v>
      </c>
      <c r="E9" s="121">
        <v>28</v>
      </c>
      <c r="F9" s="161">
        <v>196</v>
      </c>
      <c r="G9" s="118"/>
      <c r="H9" s="118"/>
      <c r="I9" s="118"/>
      <c r="J9" s="118"/>
    </row>
    <row r="10" spans="1:11" ht="24.95" customHeight="1" x14ac:dyDescent="0.25">
      <c r="A10" s="117">
        <v>5</v>
      </c>
      <c r="B10" s="118" t="s">
        <v>192</v>
      </c>
      <c r="C10" s="119" t="s">
        <v>54</v>
      </c>
      <c r="D10" s="119">
        <v>15</v>
      </c>
      <c r="E10" s="119">
        <v>25</v>
      </c>
      <c r="F10" s="161">
        <v>375</v>
      </c>
      <c r="G10" s="118"/>
      <c r="H10" s="118"/>
      <c r="I10" s="118"/>
      <c r="J10" s="118"/>
    </row>
    <row r="11" spans="1:11" ht="24.95" customHeight="1" x14ac:dyDescent="0.25">
      <c r="A11" s="122">
        <v>6</v>
      </c>
      <c r="B11" s="118" t="s">
        <v>193</v>
      </c>
      <c r="C11" s="119" t="s">
        <v>44</v>
      </c>
      <c r="D11" s="119">
        <v>2</v>
      </c>
      <c r="E11" s="119">
        <v>120</v>
      </c>
      <c r="F11" s="161">
        <v>240</v>
      </c>
      <c r="G11" s="118"/>
      <c r="H11" s="118"/>
      <c r="I11" s="118"/>
      <c r="J11" s="118"/>
    </row>
    <row r="12" spans="1:11" ht="24.95" customHeight="1" x14ac:dyDescent="0.25">
      <c r="A12" s="117">
        <v>7</v>
      </c>
      <c r="B12" s="118" t="s">
        <v>194</v>
      </c>
      <c r="C12" s="119" t="s">
        <v>44</v>
      </c>
      <c r="D12" s="119">
        <v>1</v>
      </c>
      <c r="E12" s="119">
        <v>250</v>
      </c>
      <c r="F12" s="161">
        <v>250</v>
      </c>
      <c r="G12" s="118"/>
      <c r="H12" s="118"/>
      <c r="I12" s="118"/>
      <c r="J12" s="118"/>
    </row>
    <row r="13" spans="1:11" ht="24.95" customHeight="1" x14ac:dyDescent="0.25">
      <c r="A13" s="117">
        <v>8</v>
      </c>
      <c r="B13" s="118" t="s">
        <v>195</v>
      </c>
      <c r="C13" s="119" t="s">
        <v>44</v>
      </c>
      <c r="D13" s="119">
        <v>1</v>
      </c>
      <c r="E13" s="119">
        <v>400</v>
      </c>
      <c r="F13" s="161">
        <v>400</v>
      </c>
      <c r="G13" s="118"/>
      <c r="H13" s="118"/>
      <c r="I13" s="118"/>
      <c r="J13" s="118"/>
    </row>
    <row r="14" spans="1:11" ht="24.95" customHeight="1" x14ac:dyDescent="0.25">
      <c r="A14" s="117">
        <v>9</v>
      </c>
      <c r="B14" s="118" t="s">
        <v>196</v>
      </c>
      <c r="C14" s="119" t="s">
        <v>44</v>
      </c>
      <c r="D14" s="119">
        <v>1</v>
      </c>
      <c r="E14" s="119">
        <v>300</v>
      </c>
      <c r="F14" s="161">
        <v>300</v>
      </c>
      <c r="G14" s="118"/>
      <c r="H14" s="118"/>
      <c r="I14" s="118"/>
      <c r="J14" s="118"/>
    </row>
    <row r="15" spans="1:11" ht="24.95" customHeight="1" x14ac:dyDescent="0.25">
      <c r="A15" s="122">
        <v>10</v>
      </c>
      <c r="B15" s="118" t="s">
        <v>197</v>
      </c>
      <c r="C15" s="119" t="s">
        <v>44</v>
      </c>
      <c r="D15" s="119">
        <v>1</v>
      </c>
      <c r="E15" s="119">
        <v>360</v>
      </c>
      <c r="F15" s="161">
        <v>360</v>
      </c>
      <c r="G15" s="118"/>
      <c r="H15" s="118"/>
      <c r="I15" s="118"/>
      <c r="J15" s="118"/>
    </row>
    <row r="16" spans="1:11" ht="24.95" customHeight="1" x14ac:dyDescent="0.25">
      <c r="A16" s="117">
        <v>11</v>
      </c>
      <c r="B16" s="118" t="s">
        <v>198</v>
      </c>
      <c r="C16" s="119" t="s">
        <v>44</v>
      </c>
      <c r="D16" s="119">
        <v>1</v>
      </c>
      <c r="E16" s="119">
        <v>1638</v>
      </c>
      <c r="F16" s="161">
        <v>1638</v>
      </c>
      <c r="G16" s="118"/>
      <c r="H16" s="118"/>
      <c r="I16" s="118"/>
      <c r="J16" s="118"/>
    </row>
    <row r="17" spans="1:10" ht="24.95" customHeight="1" x14ac:dyDescent="0.25">
      <c r="A17" s="117">
        <v>12</v>
      </c>
      <c r="B17" s="118" t="s">
        <v>199</v>
      </c>
      <c r="C17" s="119" t="s">
        <v>44</v>
      </c>
      <c r="D17" s="119">
        <v>2</v>
      </c>
      <c r="E17" s="119">
        <v>633</v>
      </c>
      <c r="F17" s="162">
        <v>1266</v>
      </c>
      <c r="G17" s="118"/>
      <c r="H17" s="118"/>
      <c r="I17" s="118"/>
      <c r="J17" s="118"/>
    </row>
    <row r="18" spans="1:10" ht="24.95" customHeight="1" x14ac:dyDescent="0.25">
      <c r="A18" s="117">
        <v>13</v>
      </c>
      <c r="B18" s="118" t="s">
        <v>207</v>
      </c>
      <c r="C18" s="119" t="s">
        <v>44</v>
      </c>
      <c r="D18" s="119">
        <v>1</v>
      </c>
      <c r="E18" s="119">
        <v>570</v>
      </c>
      <c r="F18" s="119">
        <v>570</v>
      </c>
      <c r="G18" s="118"/>
      <c r="H18" s="118"/>
      <c r="I18" s="118"/>
      <c r="J18" s="118"/>
    </row>
    <row r="19" spans="1:10" ht="24.95" customHeight="1" x14ac:dyDescent="0.25">
      <c r="A19" s="122">
        <v>14</v>
      </c>
      <c r="B19" s="118" t="s">
        <v>208</v>
      </c>
      <c r="C19" s="119" t="s">
        <v>44</v>
      </c>
      <c r="D19" s="119">
        <v>1</v>
      </c>
      <c r="E19" s="119">
        <v>350</v>
      </c>
      <c r="F19" s="123">
        <v>350</v>
      </c>
      <c r="G19" s="124"/>
      <c r="H19" s="124"/>
      <c r="I19" s="124"/>
      <c r="J19" s="124"/>
    </row>
    <row r="20" spans="1:10" ht="24.95" customHeight="1" x14ac:dyDescent="0.25">
      <c r="A20" s="117">
        <v>15</v>
      </c>
      <c r="B20" s="118" t="s">
        <v>209</v>
      </c>
      <c r="C20" s="119" t="s">
        <v>186</v>
      </c>
      <c r="D20" s="119">
        <v>40</v>
      </c>
      <c r="E20" s="119">
        <v>20</v>
      </c>
      <c r="F20" s="123">
        <v>800</v>
      </c>
      <c r="G20" s="124"/>
      <c r="H20" s="124"/>
      <c r="I20" s="124"/>
      <c r="J20" s="124"/>
    </row>
    <row r="21" spans="1:10" ht="24.95" customHeight="1" x14ac:dyDescent="0.2">
      <c r="A21" s="85">
        <v>16</v>
      </c>
      <c r="B21" s="84" t="s">
        <v>211</v>
      </c>
      <c r="C21" s="87" t="s">
        <v>205</v>
      </c>
      <c r="D21" s="87">
        <v>5</v>
      </c>
      <c r="E21" s="87">
        <v>25</v>
      </c>
      <c r="F21" s="101"/>
      <c r="G21" s="102"/>
      <c r="H21" s="102"/>
      <c r="I21" s="102"/>
      <c r="J21" s="102"/>
    </row>
    <row r="22" spans="1:10" ht="24.95" customHeight="1" x14ac:dyDescent="0.2">
      <c r="A22" s="85">
        <v>17</v>
      </c>
      <c r="B22" s="17"/>
      <c r="C22" s="13"/>
      <c r="D22" s="13"/>
      <c r="E22" s="13"/>
      <c r="F22" s="107">
        <f>SUM(F6:F21)</f>
        <v>10513</v>
      </c>
    </row>
    <row r="23" spans="1:10" s="82" customFormat="1" ht="24.95" customHeight="1" x14ac:dyDescent="0.2">
      <c r="A23" s="91">
        <v>18</v>
      </c>
      <c r="B23" s="17"/>
      <c r="C23" s="13"/>
      <c r="D23" s="13"/>
      <c r="E23" s="13"/>
      <c r="F23"/>
      <c r="G23"/>
      <c r="H23"/>
      <c r="I23"/>
      <c r="J23"/>
    </row>
    <row r="24" spans="1:10" s="82" customFormat="1" ht="24.95" customHeight="1" x14ac:dyDescent="0.2">
      <c r="A24" s="85">
        <v>19</v>
      </c>
      <c r="B24"/>
      <c r="C24"/>
      <c r="D24"/>
      <c r="E24"/>
      <c r="F24"/>
      <c r="G24"/>
      <c r="H24"/>
      <c r="I24"/>
      <c r="J24"/>
    </row>
    <row r="25" spans="1:10" s="82" customFormat="1" ht="24.95" customHeight="1" x14ac:dyDescent="0.2">
      <c r="A25" s="85">
        <v>20</v>
      </c>
      <c r="B25" s="163" t="s">
        <v>214</v>
      </c>
      <c r="C25"/>
      <c r="D25"/>
      <c r="E25"/>
      <c r="F25"/>
      <c r="G25"/>
      <c r="H25"/>
      <c r="I25"/>
      <c r="J25"/>
    </row>
    <row r="26" spans="1:10" s="82" customFormat="1" ht="24.95" customHeight="1" x14ac:dyDescent="0.2">
      <c r="A26" s="85">
        <v>21</v>
      </c>
      <c r="B26"/>
      <c r="C26"/>
      <c r="D26"/>
      <c r="E26"/>
      <c r="F26"/>
      <c r="G26"/>
      <c r="H26"/>
      <c r="I26"/>
      <c r="J26"/>
    </row>
    <row r="27" spans="1:10" s="82" customFormat="1" ht="24.95" customHeight="1" x14ac:dyDescent="0.2">
      <c r="A27" s="91">
        <v>22</v>
      </c>
      <c r="B27"/>
      <c r="C27"/>
      <c r="D27"/>
      <c r="E27"/>
      <c r="F27"/>
      <c r="G27"/>
      <c r="H27"/>
      <c r="I27"/>
      <c r="J27"/>
    </row>
    <row r="28" spans="1:10" s="82" customFormat="1" ht="24.95" customHeight="1" x14ac:dyDescent="0.2">
      <c r="A28" s="85">
        <v>23</v>
      </c>
      <c r="B28"/>
      <c r="C28"/>
      <c r="D28"/>
      <c r="E28"/>
      <c r="F28"/>
      <c r="G28"/>
      <c r="H28"/>
      <c r="I28"/>
      <c r="J28"/>
    </row>
    <row r="29" spans="1:10" s="82" customFormat="1" ht="24.95" customHeight="1" x14ac:dyDescent="0.2">
      <c r="A29" s="85">
        <v>24</v>
      </c>
      <c r="B29"/>
      <c r="C29"/>
      <c r="D29"/>
      <c r="E29"/>
      <c r="F29"/>
      <c r="G29"/>
      <c r="H29"/>
      <c r="I29"/>
      <c r="J29" s="111"/>
    </row>
    <row r="30" spans="1:10" s="82" customFormat="1" ht="24.95" customHeight="1" x14ac:dyDescent="0.2">
      <c r="A30" s="85">
        <v>25</v>
      </c>
      <c r="B30"/>
      <c r="C30"/>
      <c r="D30"/>
      <c r="E30"/>
      <c r="F30"/>
      <c r="G30"/>
      <c r="H30"/>
      <c r="I30"/>
      <c r="J30"/>
    </row>
    <row r="31" spans="1:10" ht="24.95" customHeight="1" x14ac:dyDescent="0.2">
      <c r="A31" s="91">
        <v>26</v>
      </c>
    </row>
    <row r="32" spans="1:10" ht="24.95" customHeight="1" x14ac:dyDescent="0.2">
      <c r="A32" s="85">
        <v>27</v>
      </c>
    </row>
    <row r="33" spans="1:11" ht="24.95" customHeight="1" x14ac:dyDescent="0.2">
      <c r="A33" s="85">
        <v>28</v>
      </c>
    </row>
    <row r="34" spans="1:11" ht="24.95" customHeight="1" x14ac:dyDescent="0.2">
      <c r="A34" s="85">
        <v>29</v>
      </c>
    </row>
    <row r="35" spans="1:11" ht="24.95" customHeight="1" x14ac:dyDescent="0.2">
      <c r="A35" s="91">
        <v>30</v>
      </c>
    </row>
    <row r="36" spans="1:11" ht="24.95" customHeight="1" x14ac:dyDescent="0.2">
      <c r="A36" s="85">
        <v>31</v>
      </c>
    </row>
    <row r="37" spans="1:11" ht="24.95" customHeight="1" x14ac:dyDescent="0.2">
      <c r="A37" s="85">
        <v>32</v>
      </c>
      <c r="K37" s="10"/>
    </row>
    <row r="38" spans="1:11" ht="24.95" customHeight="1" x14ac:dyDescent="0.2">
      <c r="A38" s="85">
        <v>33</v>
      </c>
    </row>
    <row r="39" spans="1:11" ht="24.95" customHeight="1" x14ac:dyDescent="0.2">
      <c r="A39" s="91">
        <v>34</v>
      </c>
    </row>
    <row r="40" spans="1:11" ht="24.95" customHeight="1" x14ac:dyDescent="0.2">
      <c r="A40" s="85">
        <v>35</v>
      </c>
    </row>
    <row r="41" spans="1:11" ht="24.95" customHeight="1" x14ac:dyDescent="0.2">
      <c r="A41" s="85">
        <v>36</v>
      </c>
    </row>
    <row r="42" spans="1:11" ht="24.95" customHeight="1" x14ac:dyDescent="0.2">
      <c r="A42" s="85">
        <v>37</v>
      </c>
    </row>
    <row r="43" spans="1:11" ht="24.95" customHeight="1" x14ac:dyDescent="0.2">
      <c r="A43" s="91">
        <v>38</v>
      </c>
    </row>
    <row r="44" spans="1:11" ht="24.95" customHeight="1" x14ac:dyDescent="0.2">
      <c r="A44" s="85">
        <v>39</v>
      </c>
    </row>
    <row r="45" spans="1:11" ht="24.95" customHeight="1" x14ac:dyDescent="0.2">
      <c r="A45" s="85">
        <v>40</v>
      </c>
    </row>
    <row r="46" spans="1:11" ht="24.95" customHeight="1" x14ac:dyDescent="0.2">
      <c r="A46" s="85">
        <v>41</v>
      </c>
    </row>
    <row r="47" spans="1:11" ht="24.95" customHeight="1" x14ac:dyDescent="0.2">
      <c r="A47" s="85">
        <v>42</v>
      </c>
    </row>
    <row r="48" spans="1:11" ht="24.95" customHeight="1" x14ac:dyDescent="0.2">
      <c r="A48" s="85">
        <v>43</v>
      </c>
    </row>
    <row r="49" spans="1:1" ht="24.95" customHeight="1" x14ac:dyDescent="0.2">
      <c r="A49" s="85">
        <v>44</v>
      </c>
    </row>
    <row r="50" spans="1:1" ht="24.95" customHeight="1" x14ac:dyDescent="0.2">
      <c r="A50" s="85">
        <v>45</v>
      </c>
    </row>
    <row r="51" spans="1:1" ht="24.95" customHeight="1" x14ac:dyDescent="0.2">
      <c r="A51" s="91">
        <v>46</v>
      </c>
    </row>
    <row r="52" spans="1:1" ht="24.95" customHeight="1" x14ac:dyDescent="0.2">
      <c r="A52" s="85">
        <v>47</v>
      </c>
    </row>
    <row r="53" spans="1:1" ht="24.95" customHeight="1" x14ac:dyDescent="0.2">
      <c r="A53" s="85">
        <v>48</v>
      </c>
    </row>
    <row r="54" spans="1:1" ht="24.95" customHeight="1" x14ac:dyDescent="0.2">
      <c r="A54" s="85">
        <v>49</v>
      </c>
    </row>
    <row r="55" spans="1:1" ht="24.95" customHeight="1" x14ac:dyDescent="0.2">
      <c r="A55" s="85">
        <v>50</v>
      </c>
    </row>
    <row r="56" spans="1:1" ht="24.95" customHeight="1" x14ac:dyDescent="0.2">
      <c r="A56" s="85">
        <v>51</v>
      </c>
    </row>
    <row r="57" spans="1:1" ht="24.95" customHeight="1" x14ac:dyDescent="0.2">
      <c r="A57" s="85">
        <v>52</v>
      </c>
    </row>
    <row r="58" spans="1:1" ht="24.95" customHeight="1" x14ac:dyDescent="0.2">
      <c r="A58" s="85">
        <v>53</v>
      </c>
    </row>
    <row r="59" spans="1:1" ht="24.95" customHeight="1" x14ac:dyDescent="0.2">
      <c r="A59" s="85">
        <v>54</v>
      </c>
    </row>
    <row r="60" spans="1:1" ht="24.95" customHeight="1" x14ac:dyDescent="0.2">
      <c r="A60" s="85">
        <v>55</v>
      </c>
    </row>
    <row r="61" spans="1:1" ht="24.95" customHeight="1" x14ac:dyDescent="0.2">
      <c r="A61" s="85">
        <v>56</v>
      </c>
    </row>
    <row r="62" spans="1:1" ht="24.95" customHeight="1" x14ac:dyDescent="0.2">
      <c r="A62" s="85">
        <v>57</v>
      </c>
    </row>
    <row r="63" spans="1:1" ht="24.95" customHeight="1" x14ac:dyDescent="0.2">
      <c r="A63" s="85">
        <v>58</v>
      </c>
    </row>
    <row r="64" spans="1:1" ht="24.95" customHeight="1" x14ac:dyDescent="0.2">
      <c r="A64" s="85">
        <v>59</v>
      </c>
    </row>
    <row r="65" spans="1:1" ht="24.95" customHeight="1" x14ac:dyDescent="0.2">
      <c r="A65" s="85">
        <v>60</v>
      </c>
    </row>
    <row r="66" spans="1:1" ht="24.95" customHeight="1" x14ac:dyDescent="0.2">
      <c r="A66" s="85">
        <v>61</v>
      </c>
    </row>
    <row r="67" spans="1:1" ht="24.95" customHeight="1" x14ac:dyDescent="0.2">
      <c r="A67" s="85">
        <v>62</v>
      </c>
    </row>
    <row r="68" spans="1:1" ht="24.95" customHeight="1" x14ac:dyDescent="0.2">
      <c r="A68" s="85">
        <v>63</v>
      </c>
    </row>
    <row r="69" spans="1:1" ht="24.95" customHeight="1" x14ac:dyDescent="0.2">
      <c r="A69" s="85"/>
    </row>
    <row r="70" spans="1:1" ht="35.25" customHeight="1" x14ac:dyDescent="0.2">
      <c r="A70" s="16"/>
    </row>
    <row r="71" spans="1:1" ht="15" x14ac:dyDescent="0.2">
      <c r="A71" s="16"/>
    </row>
    <row r="83" ht="24.95" customHeight="1" x14ac:dyDescent="0.2"/>
    <row r="84" ht="24.95" customHeight="1" x14ac:dyDescent="0.2"/>
    <row r="85" ht="24.95" customHeight="1" x14ac:dyDescent="0.2"/>
    <row r="86" ht="24.95" customHeight="1" x14ac:dyDescent="0.2"/>
    <row r="87" ht="24.95" customHeight="1" x14ac:dyDescent="0.2"/>
    <row r="88" ht="24.95" customHeight="1" x14ac:dyDescent="0.2"/>
    <row r="89" ht="24.95" customHeight="1" x14ac:dyDescent="0.2"/>
    <row r="90" ht="24.95" customHeight="1" x14ac:dyDescent="0.2"/>
    <row r="91" ht="24.95" customHeight="1" x14ac:dyDescent="0.2"/>
    <row r="92" ht="24.95" customHeight="1" x14ac:dyDescent="0.2"/>
    <row r="93" ht="24.95" customHeight="1" x14ac:dyDescent="0.2"/>
    <row r="94" ht="24.95" customHeight="1" x14ac:dyDescent="0.2"/>
    <row r="95" ht="24.95" customHeight="1" x14ac:dyDescent="0.2"/>
    <row r="96" ht="24.95" customHeight="1" x14ac:dyDescent="0.2"/>
    <row r="97" ht="24.95" customHeight="1" x14ac:dyDescent="0.2"/>
    <row r="98" ht="24.95" customHeight="1" x14ac:dyDescent="0.2"/>
    <row r="99" ht="24.95" customHeight="1" x14ac:dyDescent="0.2"/>
    <row r="100" ht="24.95" customHeight="1" x14ac:dyDescent="0.2"/>
    <row r="101" ht="24.95" customHeight="1" x14ac:dyDescent="0.2"/>
    <row r="102" ht="24.95" customHeight="1" x14ac:dyDescent="0.2"/>
    <row r="103" ht="24.95" customHeight="1" x14ac:dyDescent="0.2"/>
    <row r="104" ht="24.95" customHeight="1" x14ac:dyDescent="0.2"/>
    <row r="105" ht="24.95" customHeight="1" x14ac:dyDescent="0.2"/>
    <row r="106" ht="24.95" customHeight="1" x14ac:dyDescent="0.2"/>
    <row r="107" ht="24.95" customHeight="1" x14ac:dyDescent="0.2"/>
    <row r="108" ht="24.95" customHeight="1" x14ac:dyDescent="0.2"/>
    <row r="109" ht="24.95" customHeight="1" x14ac:dyDescent="0.2"/>
    <row r="110" ht="24.95" customHeight="1" x14ac:dyDescent="0.2"/>
    <row r="111" ht="24.95" customHeight="1" x14ac:dyDescent="0.2"/>
    <row r="112" ht="24.95" customHeight="1" x14ac:dyDescent="0.2"/>
    <row r="113" ht="24.95" customHeight="1" x14ac:dyDescent="0.2"/>
    <row r="114" ht="24.95" customHeight="1" x14ac:dyDescent="0.2"/>
    <row r="115" ht="24.95" customHeight="1" x14ac:dyDescent="0.2"/>
    <row r="116" ht="24.95" customHeight="1" x14ac:dyDescent="0.2"/>
    <row r="117" ht="24.95" customHeight="1" x14ac:dyDescent="0.2"/>
    <row r="118" ht="24.95" customHeight="1" x14ac:dyDescent="0.2"/>
    <row r="119" ht="24.95" customHeight="1" x14ac:dyDescent="0.2"/>
    <row r="120" ht="24.95" customHeight="1" x14ac:dyDescent="0.2"/>
    <row r="142" ht="30" customHeight="1" x14ac:dyDescent="0.2"/>
  </sheetData>
  <mergeCells count="8">
    <mergeCell ref="D3:D4"/>
    <mergeCell ref="E3:F3"/>
    <mergeCell ref="G3:H3"/>
    <mergeCell ref="I3:J3"/>
    <mergeCell ref="A1:J2"/>
    <mergeCell ref="A3:A4"/>
    <mergeCell ref="B3:B4"/>
    <mergeCell ref="C3:C4"/>
  </mergeCells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3D982-488D-48F6-8C2A-3170190173E3}">
  <sheetPr>
    <tabColor theme="1" tint="0.249977111117893"/>
  </sheetPr>
  <dimension ref="A1:K142"/>
  <sheetViews>
    <sheetView showGridLines="0" zoomScale="80" zoomScaleNormal="80" workbookViewId="0">
      <selection activeCell="B25" sqref="B25"/>
    </sheetView>
  </sheetViews>
  <sheetFormatPr defaultRowHeight="12.75" x14ac:dyDescent="0.2"/>
  <cols>
    <col min="1" max="1" width="3.6640625" customWidth="1"/>
    <col min="2" max="2" width="34.33203125" customWidth="1"/>
    <col min="3" max="5" width="15.83203125" customWidth="1"/>
    <col min="6" max="6" width="20" customWidth="1"/>
    <col min="7" max="8" width="15.83203125" customWidth="1"/>
    <col min="9" max="9" width="14.5" customWidth="1"/>
    <col min="10" max="10" width="14.33203125" customWidth="1"/>
    <col min="11" max="11" width="20.5" bestFit="1" customWidth="1"/>
    <col min="12" max="13" width="15.83203125" customWidth="1"/>
  </cols>
  <sheetData>
    <row r="1" spans="1:11" ht="12.75" customHeight="1" x14ac:dyDescent="0.2">
      <c r="A1" s="126" t="s">
        <v>200</v>
      </c>
      <c r="B1" s="127"/>
      <c r="C1" s="127"/>
      <c r="D1" s="127"/>
      <c r="E1" s="127"/>
      <c r="F1" s="127"/>
      <c r="G1" s="127"/>
      <c r="H1" s="127"/>
      <c r="I1" s="127"/>
      <c r="J1" s="128"/>
      <c r="K1" s="108"/>
    </row>
    <row r="2" spans="1:11" ht="23.25" customHeight="1" thickBot="1" x14ac:dyDescent="0.25">
      <c r="A2" s="129"/>
      <c r="B2" s="130"/>
      <c r="C2" s="130"/>
      <c r="D2" s="130"/>
      <c r="E2" s="130"/>
      <c r="F2" s="130"/>
      <c r="G2" s="130"/>
      <c r="H2" s="130"/>
      <c r="I2" s="130"/>
      <c r="J2" s="131"/>
      <c r="K2" s="108"/>
    </row>
    <row r="3" spans="1:11" ht="16.5" customHeight="1" x14ac:dyDescent="0.2">
      <c r="A3" s="132" t="s">
        <v>188</v>
      </c>
      <c r="B3" s="134" t="s">
        <v>41</v>
      </c>
      <c r="C3" s="136"/>
      <c r="D3" s="138" t="s">
        <v>135</v>
      </c>
      <c r="E3" s="140" t="s">
        <v>7</v>
      </c>
      <c r="F3" s="140"/>
      <c r="G3" s="138"/>
      <c r="H3" s="138"/>
      <c r="I3" s="141"/>
      <c r="J3" s="142"/>
    </row>
    <row r="4" spans="1:11" ht="37.5" customHeight="1" thickBot="1" x14ac:dyDescent="0.25">
      <c r="A4" s="133"/>
      <c r="B4" s="135"/>
      <c r="C4" s="137"/>
      <c r="D4" s="139"/>
      <c r="E4" s="112" t="s">
        <v>206</v>
      </c>
      <c r="F4" s="113" t="s">
        <v>204</v>
      </c>
      <c r="G4" s="112"/>
      <c r="H4" s="112"/>
      <c r="I4" s="112"/>
      <c r="J4" s="114"/>
    </row>
    <row r="5" spans="1:11" ht="16.5" customHeight="1" x14ac:dyDescent="0.25">
      <c r="A5" s="115"/>
      <c r="B5" s="116">
        <v>2</v>
      </c>
      <c r="C5" s="116">
        <v>3</v>
      </c>
      <c r="D5" s="116">
        <v>4</v>
      </c>
      <c r="E5" s="116">
        <v>5</v>
      </c>
      <c r="F5" s="116">
        <v>6</v>
      </c>
      <c r="G5" s="116">
        <v>7</v>
      </c>
      <c r="H5" s="116">
        <v>8</v>
      </c>
      <c r="I5" s="116">
        <v>9</v>
      </c>
      <c r="J5" s="116">
        <v>10</v>
      </c>
    </row>
    <row r="6" spans="1:11" ht="24.95" customHeight="1" x14ac:dyDescent="0.25">
      <c r="A6" s="117">
        <v>1</v>
      </c>
      <c r="B6" s="118" t="s">
        <v>189</v>
      </c>
      <c r="C6" s="119" t="s">
        <v>186</v>
      </c>
      <c r="D6" s="120">
        <v>28</v>
      </c>
      <c r="E6" s="121">
        <v>140</v>
      </c>
      <c r="F6" s="121">
        <v>3920</v>
      </c>
      <c r="G6" s="118"/>
      <c r="H6" s="118"/>
      <c r="I6" s="118"/>
      <c r="J6" s="118"/>
    </row>
    <row r="7" spans="1:11" ht="24.95" customHeight="1" x14ac:dyDescent="0.25">
      <c r="A7" s="122">
        <v>2</v>
      </c>
      <c r="B7" s="118" t="s">
        <v>187</v>
      </c>
      <c r="C7" s="119" t="s">
        <v>186</v>
      </c>
      <c r="D7" s="119">
        <v>28</v>
      </c>
      <c r="E7" s="121">
        <v>45</v>
      </c>
      <c r="F7" s="121">
        <v>1260</v>
      </c>
      <c r="G7" s="118"/>
      <c r="H7" s="118"/>
      <c r="I7" s="118"/>
      <c r="J7" s="118"/>
    </row>
    <row r="8" spans="1:11" ht="24.95" customHeight="1" x14ac:dyDescent="0.25">
      <c r="A8" s="117">
        <v>3</v>
      </c>
      <c r="B8" s="118" t="s">
        <v>190</v>
      </c>
      <c r="C8" s="119" t="s">
        <v>205</v>
      </c>
      <c r="D8" s="119">
        <v>8</v>
      </c>
      <c r="E8" s="121">
        <v>73</v>
      </c>
      <c r="F8" s="121">
        <v>584</v>
      </c>
      <c r="G8" s="118"/>
      <c r="H8" s="118"/>
      <c r="I8" s="118"/>
      <c r="J8" s="118"/>
    </row>
    <row r="9" spans="1:11" ht="29.25" customHeight="1" x14ac:dyDescent="0.25">
      <c r="A9" s="117">
        <v>4</v>
      </c>
      <c r="B9" s="118" t="s">
        <v>191</v>
      </c>
      <c r="C9" s="119" t="s">
        <v>44</v>
      </c>
      <c r="D9" s="121">
        <v>10</v>
      </c>
      <c r="E9" s="121">
        <v>28</v>
      </c>
      <c r="F9" s="121">
        <v>280</v>
      </c>
      <c r="G9" s="118"/>
      <c r="H9" s="118"/>
      <c r="I9" s="118"/>
      <c r="J9" s="118"/>
    </row>
    <row r="10" spans="1:11" ht="30.75" customHeight="1" x14ac:dyDescent="0.25">
      <c r="A10" s="117">
        <v>5</v>
      </c>
      <c r="B10" s="118" t="s">
        <v>192</v>
      </c>
      <c r="C10" s="119" t="s">
        <v>54</v>
      </c>
      <c r="D10" s="119">
        <v>22</v>
      </c>
      <c r="E10" s="119">
        <v>25</v>
      </c>
      <c r="F10" s="119">
        <v>550</v>
      </c>
      <c r="G10" s="118"/>
      <c r="H10" s="118"/>
      <c r="I10" s="118"/>
      <c r="J10" s="118"/>
    </row>
    <row r="11" spans="1:11" ht="27.75" customHeight="1" x14ac:dyDescent="0.25">
      <c r="A11" s="122">
        <v>6</v>
      </c>
      <c r="B11" s="118" t="s">
        <v>193</v>
      </c>
      <c r="C11" s="119" t="s">
        <v>44</v>
      </c>
      <c r="D11" s="119">
        <v>2</v>
      </c>
      <c r="E11" s="119">
        <v>120</v>
      </c>
      <c r="F11" s="119">
        <v>240</v>
      </c>
      <c r="G11" s="118"/>
      <c r="H11" s="118"/>
      <c r="I11" s="118"/>
      <c r="J11" s="118"/>
    </row>
    <row r="12" spans="1:11" ht="29.25" customHeight="1" x14ac:dyDescent="0.25">
      <c r="A12" s="117">
        <v>7</v>
      </c>
      <c r="B12" s="118" t="s">
        <v>194</v>
      </c>
      <c r="C12" s="119" t="s">
        <v>44</v>
      </c>
      <c r="D12" s="119">
        <v>1</v>
      </c>
      <c r="E12" s="119">
        <v>250</v>
      </c>
      <c r="F12" s="119">
        <v>250</v>
      </c>
      <c r="G12" s="118"/>
      <c r="H12" s="118"/>
      <c r="I12" s="118"/>
      <c r="J12" s="118"/>
    </row>
    <row r="13" spans="1:11" ht="24.95" customHeight="1" x14ac:dyDescent="0.25">
      <c r="A13" s="117">
        <v>8</v>
      </c>
      <c r="B13" s="118" t="s">
        <v>195</v>
      </c>
      <c r="C13" s="119" t="s">
        <v>44</v>
      </c>
      <c r="D13" s="119">
        <v>1</v>
      </c>
      <c r="E13" s="119">
        <v>400</v>
      </c>
      <c r="F13" s="119">
        <v>400</v>
      </c>
      <c r="G13" s="118"/>
      <c r="H13" s="118"/>
      <c r="I13" s="118"/>
      <c r="J13" s="118"/>
    </row>
    <row r="14" spans="1:11" ht="24.95" customHeight="1" x14ac:dyDescent="0.25">
      <c r="A14" s="117">
        <v>9</v>
      </c>
      <c r="B14" s="118" t="s">
        <v>196</v>
      </c>
      <c r="C14" s="119" t="s">
        <v>44</v>
      </c>
      <c r="D14" s="119">
        <v>1</v>
      </c>
      <c r="E14" s="119">
        <v>300</v>
      </c>
      <c r="F14" s="121">
        <v>300</v>
      </c>
      <c r="G14" s="118"/>
      <c r="H14" s="118"/>
      <c r="I14" s="118"/>
      <c r="J14" s="118"/>
    </row>
    <row r="15" spans="1:11" ht="24.95" customHeight="1" x14ac:dyDescent="0.25">
      <c r="A15" s="122">
        <v>10</v>
      </c>
      <c r="B15" s="118" t="s">
        <v>197</v>
      </c>
      <c r="C15" s="119" t="s">
        <v>44</v>
      </c>
      <c r="D15" s="119">
        <v>2</v>
      </c>
      <c r="E15" s="119">
        <v>360</v>
      </c>
      <c r="F15" s="119">
        <v>720</v>
      </c>
      <c r="G15" s="118"/>
      <c r="H15" s="118"/>
      <c r="I15" s="118"/>
      <c r="J15" s="118"/>
    </row>
    <row r="16" spans="1:11" ht="24.95" customHeight="1" x14ac:dyDescent="0.25">
      <c r="A16" s="117">
        <v>11</v>
      </c>
      <c r="B16" s="118" t="s">
        <v>198</v>
      </c>
      <c r="C16" s="119" t="s">
        <v>44</v>
      </c>
      <c r="D16" s="119">
        <v>1</v>
      </c>
      <c r="E16" s="119">
        <v>1638</v>
      </c>
      <c r="F16" s="119">
        <v>1638</v>
      </c>
      <c r="G16" s="118"/>
      <c r="H16" s="118"/>
      <c r="I16" s="118"/>
      <c r="J16" s="118"/>
    </row>
    <row r="17" spans="1:10" ht="24.95" customHeight="1" x14ac:dyDescent="0.25">
      <c r="A17" s="117">
        <v>12</v>
      </c>
      <c r="B17" s="118" t="s">
        <v>199</v>
      </c>
      <c r="C17" s="119" t="s">
        <v>44</v>
      </c>
      <c r="D17" s="119">
        <v>2</v>
      </c>
      <c r="E17" s="119">
        <v>633</v>
      </c>
      <c r="F17" s="125">
        <v>1266</v>
      </c>
      <c r="G17" s="118"/>
      <c r="H17" s="118"/>
      <c r="I17" s="118"/>
      <c r="J17" s="118"/>
    </row>
    <row r="18" spans="1:10" ht="24.95" customHeight="1" x14ac:dyDescent="0.25">
      <c r="A18" s="117">
        <v>13</v>
      </c>
      <c r="B18" s="118" t="s">
        <v>207</v>
      </c>
      <c r="C18" s="119" t="s">
        <v>44</v>
      </c>
      <c r="D18" s="119">
        <v>1</v>
      </c>
      <c r="E18" s="119">
        <v>570</v>
      </c>
      <c r="F18" s="119">
        <v>570</v>
      </c>
      <c r="G18" s="118"/>
      <c r="H18" s="118"/>
      <c r="I18" s="118"/>
      <c r="J18" s="118"/>
    </row>
    <row r="19" spans="1:10" ht="24.95" customHeight="1" x14ac:dyDescent="0.25">
      <c r="A19" s="122">
        <v>14</v>
      </c>
      <c r="B19" s="118" t="s">
        <v>208</v>
      </c>
      <c r="C19" s="119" t="s">
        <v>44</v>
      </c>
      <c r="D19" s="119">
        <v>1</v>
      </c>
      <c r="E19" s="119">
        <v>350</v>
      </c>
      <c r="F19" s="119">
        <v>350</v>
      </c>
      <c r="G19" s="118"/>
      <c r="H19" s="118"/>
      <c r="I19" s="118"/>
      <c r="J19" s="118"/>
    </row>
    <row r="20" spans="1:10" ht="24.95" customHeight="1" x14ac:dyDescent="0.25">
      <c r="A20" s="117">
        <v>15</v>
      </c>
      <c r="B20" s="118" t="s">
        <v>209</v>
      </c>
      <c r="C20" s="119" t="s">
        <v>186</v>
      </c>
      <c r="D20" s="119">
        <v>60</v>
      </c>
      <c r="E20" s="119">
        <v>20</v>
      </c>
      <c r="F20" s="119">
        <v>1200</v>
      </c>
      <c r="G20" s="118"/>
      <c r="H20" s="118"/>
      <c r="I20" s="118"/>
      <c r="J20" s="118"/>
    </row>
    <row r="21" spans="1:10" ht="24.95" customHeight="1" x14ac:dyDescent="0.25">
      <c r="A21" s="117">
        <v>16</v>
      </c>
      <c r="B21" s="118" t="s">
        <v>211</v>
      </c>
      <c r="C21" s="119" t="s">
        <v>210</v>
      </c>
      <c r="D21" s="119">
        <v>7.5</v>
      </c>
      <c r="E21" s="119">
        <v>25</v>
      </c>
      <c r="F21" s="123">
        <v>187.5</v>
      </c>
      <c r="G21" s="124"/>
      <c r="H21" s="124"/>
      <c r="I21" s="124"/>
      <c r="J21" s="124"/>
    </row>
    <row r="22" spans="1:10" ht="24.95" customHeight="1" x14ac:dyDescent="0.2">
      <c r="A22" s="85"/>
      <c r="B22" s="84"/>
      <c r="C22" s="87"/>
      <c r="D22" s="87"/>
      <c r="E22" s="87"/>
      <c r="F22" s="101"/>
      <c r="G22" s="102"/>
      <c r="H22" s="102"/>
      <c r="I22" s="102"/>
      <c r="J22" s="102"/>
    </row>
    <row r="23" spans="1:10" s="82" customFormat="1" ht="24.95" customHeight="1" x14ac:dyDescent="0.2">
      <c r="A23" s="16"/>
      <c r="B23" s="17"/>
      <c r="C23" s="13"/>
      <c r="D23" s="13"/>
      <c r="E23" s="13"/>
      <c r="F23" s="107">
        <f>SUM(F6:F22)</f>
        <v>13715.5</v>
      </c>
      <c r="G23"/>
      <c r="H23"/>
      <c r="I23"/>
      <c r="J23"/>
    </row>
    <row r="24" spans="1:10" s="82" customFormat="1" ht="24.95" customHeight="1" x14ac:dyDescent="0.2">
      <c r="A24" s="16"/>
      <c r="B24" s="17"/>
      <c r="C24" s="13"/>
      <c r="D24" s="13"/>
      <c r="E24" s="13"/>
      <c r="F24"/>
      <c r="G24"/>
      <c r="H24"/>
      <c r="I24"/>
      <c r="J24"/>
    </row>
    <row r="25" spans="1:10" s="82" customFormat="1" ht="24.95" customHeight="1" x14ac:dyDescent="0.2">
      <c r="A25"/>
      <c r="B25" s="164" t="s">
        <v>215</v>
      </c>
      <c r="C25"/>
      <c r="D25"/>
      <c r="E25"/>
      <c r="F25"/>
      <c r="G25"/>
      <c r="H25"/>
      <c r="I25"/>
      <c r="J25"/>
    </row>
    <row r="26" spans="1:10" s="82" customFormat="1" ht="24.95" customHeight="1" x14ac:dyDescent="0.2">
      <c r="A26"/>
      <c r="B26"/>
      <c r="C26"/>
      <c r="D26"/>
      <c r="E26"/>
      <c r="F26"/>
      <c r="G26"/>
      <c r="H26"/>
      <c r="I26"/>
      <c r="J26"/>
    </row>
    <row r="27" spans="1:10" s="82" customFormat="1" ht="24.95" customHeight="1" x14ac:dyDescent="0.2">
      <c r="A27"/>
      <c r="B27"/>
      <c r="C27"/>
      <c r="D27"/>
      <c r="E27"/>
      <c r="F27"/>
      <c r="G27"/>
      <c r="H27"/>
      <c r="I27"/>
      <c r="J27"/>
    </row>
    <row r="28" spans="1:10" s="82" customFormat="1" ht="24.95" customHeight="1" x14ac:dyDescent="0.2">
      <c r="A28"/>
      <c r="B28"/>
      <c r="C28"/>
      <c r="D28"/>
      <c r="E28"/>
      <c r="F28"/>
      <c r="G28"/>
      <c r="H28"/>
      <c r="I28"/>
      <c r="J28"/>
    </row>
    <row r="29" spans="1:10" s="82" customFormat="1" ht="24.95" customHeight="1" x14ac:dyDescent="0.2">
      <c r="A29"/>
      <c r="B29"/>
      <c r="C29"/>
      <c r="D29"/>
      <c r="E29"/>
      <c r="F29"/>
      <c r="G29"/>
      <c r="H29"/>
      <c r="I29"/>
      <c r="J29"/>
    </row>
    <row r="30" spans="1:10" s="82" customFormat="1" ht="24.95" customHeight="1" x14ac:dyDescent="0.2">
      <c r="A30"/>
      <c r="B30"/>
      <c r="C30"/>
      <c r="D30"/>
      <c r="E30"/>
      <c r="F30"/>
      <c r="G30"/>
      <c r="H30"/>
      <c r="I30"/>
      <c r="J30" s="111"/>
    </row>
    <row r="31" spans="1:10" ht="24.95" customHeight="1" x14ac:dyDescent="0.2"/>
    <row r="32" spans="1:10" ht="24.95" customHeight="1" x14ac:dyDescent="0.2"/>
    <row r="33" spans="11:11" ht="24.95" customHeight="1" x14ac:dyDescent="0.2"/>
    <row r="34" spans="11:11" ht="24.95" customHeight="1" x14ac:dyDescent="0.2"/>
    <row r="35" spans="11:11" ht="24.95" customHeight="1" x14ac:dyDescent="0.2"/>
    <row r="36" spans="11:11" ht="24.95" customHeight="1" x14ac:dyDescent="0.2"/>
    <row r="37" spans="11:11" ht="24.95" customHeight="1" x14ac:dyDescent="0.2">
      <c r="K37" s="10"/>
    </row>
    <row r="38" spans="11:11" ht="24.95" customHeight="1" x14ac:dyDescent="0.2"/>
    <row r="39" spans="11:11" ht="24.95" customHeight="1" x14ac:dyDescent="0.2"/>
    <row r="40" spans="11:11" ht="24.95" customHeight="1" x14ac:dyDescent="0.2"/>
    <row r="41" spans="11:11" ht="24.95" customHeight="1" x14ac:dyDescent="0.2"/>
    <row r="42" spans="11:11" ht="24.95" customHeight="1" x14ac:dyDescent="0.2"/>
    <row r="43" spans="11:11" ht="24.95" customHeight="1" x14ac:dyDescent="0.2"/>
    <row r="44" spans="11:11" ht="24.95" customHeight="1" x14ac:dyDescent="0.2"/>
    <row r="45" spans="11:11" ht="24.95" customHeight="1" x14ac:dyDescent="0.2"/>
    <row r="46" spans="11:11" ht="24.95" customHeight="1" x14ac:dyDescent="0.2"/>
    <row r="47" spans="11:11" ht="24.95" customHeight="1" x14ac:dyDescent="0.2"/>
    <row r="48" spans="11:11" ht="24.95" customHeight="1" x14ac:dyDescent="0.2"/>
    <row r="49" ht="24.95" customHeight="1" x14ac:dyDescent="0.2"/>
    <row r="50" ht="24.95" customHeight="1" x14ac:dyDescent="0.2"/>
    <row r="51" ht="24.95" customHeight="1" x14ac:dyDescent="0.2"/>
    <row r="52" ht="24.95" customHeight="1" x14ac:dyDescent="0.2"/>
    <row r="53" ht="24.95" customHeight="1" x14ac:dyDescent="0.2"/>
    <row r="54" ht="24.95" customHeight="1" x14ac:dyDescent="0.2"/>
    <row r="55" ht="24.95" customHeight="1" x14ac:dyDescent="0.2"/>
    <row r="56" ht="24.95" customHeight="1" x14ac:dyDescent="0.2"/>
    <row r="57" ht="24.95" customHeight="1" x14ac:dyDescent="0.2"/>
    <row r="58" ht="24.95" customHeight="1" x14ac:dyDescent="0.2"/>
    <row r="59" ht="24.95" customHeight="1" x14ac:dyDescent="0.2"/>
    <row r="60" ht="24.95" customHeight="1" x14ac:dyDescent="0.2"/>
    <row r="61" ht="24.95" customHeight="1" x14ac:dyDescent="0.2"/>
    <row r="62" ht="24.95" customHeight="1" x14ac:dyDescent="0.2"/>
    <row r="63" ht="24.95" customHeight="1" x14ac:dyDescent="0.2"/>
    <row r="64" ht="24.95" customHeight="1" x14ac:dyDescent="0.2"/>
    <row r="65" ht="24.95" customHeight="1" x14ac:dyDescent="0.2"/>
    <row r="66" ht="24.95" customHeight="1" x14ac:dyDescent="0.2"/>
    <row r="67" ht="24.95" customHeight="1" x14ac:dyDescent="0.2"/>
    <row r="68" ht="24.95" customHeight="1" x14ac:dyDescent="0.2"/>
    <row r="69" ht="24.95" customHeight="1" x14ac:dyDescent="0.2"/>
    <row r="70" ht="35.25" customHeight="1" x14ac:dyDescent="0.2"/>
    <row r="83" ht="24.95" customHeight="1" x14ac:dyDescent="0.2"/>
    <row r="84" ht="24.95" customHeight="1" x14ac:dyDescent="0.2"/>
    <row r="85" ht="24.95" customHeight="1" x14ac:dyDescent="0.2"/>
    <row r="86" ht="24.95" customHeight="1" x14ac:dyDescent="0.2"/>
    <row r="87" ht="24.95" customHeight="1" x14ac:dyDescent="0.2"/>
    <row r="88" ht="24.95" customHeight="1" x14ac:dyDescent="0.2"/>
    <row r="89" ht="24.95" customHeight="1" x14ac:dyDescent="0.2"/>
    <row r="90" ht="24.95" customHeight="1" x14ac:dyDescent="0.2"/>
    <row r="91" ht="24.95" customHeight="1" x14ac:dyDescent="0.2"/>
    <row r="92" ht="24.95" customHeight="1" x14ac:dyDescent="0.2"/>
    <row r="93" ht="24.95" customHeight="1" x14ac:dyDescent="0.2"/>
    <row r="94" ht="24.95" customHeight="1" x14ac:dyDescent="0.2"/>
    <row r="95" ht="24.95" customHeight="1" x14ac:dyDescent="0.2"/>
    <row r="96" ht="24.95" customHeight="1" x14ac:dyDescent="0.2"/>
    <row r="97" ht="24.95" customHeight="1" x14ac:dyDescent="0.2"/>
    <row r="98" ht="24.95" customHeight="1" x14ac:dyDescent="0.2"/>
    <row r="99" ht="24.95" customHeight="1" x14ac:dyDescent="0.2"/>
    <row r="100" ht="24.95" customHeight="1" x14ac:dyDescent="0.2"/>
    <row r="101" ht="24.95" customHeight="1" x14ac:dyDescent="0.2"/>
    <row r="102" ht="24.95" customHeight="1" x14ac:dyDescent="0.2"/>
    <row r="103" ht="24.95" customHeight="1" x14ac:dyDescent="0.2"/>
    <row r="104" ht="24.95" customHeight="1" x14ac:dyDescent="0.2"/>
    <row r="105" ht="24.95" customHeight="1" x14ac:dyDescent="0.2"/>
    <row r="106" ht="24.95" customHeight="1" x14ac:dyDescent="0.2"/>
    <row r="107" ht="24.95" customHeight="1" x14ac:dyDescent="0.2"/>
    <row r="108" ht="24.95" customHeight="1" x14ac:dyDescent="0.2"/>
    <row r="109" ht="24.95" customHeight="1" x14ac:dyDescent="0.2"/>
    <row r="110" ht="24.95" customHeight="1" x14ac:dyDescent="0.2"/>
    <row r="111" ht="24.95" customHeight="1" x14ac:dyDescent="0.2"/>
    <row r="112" ht="24.95" customHeight="1" x14ac:dyDescent="0.2"/>
    <row r="113" ht="24.95" customHeight="1" x14ac:dyDescent="0.2"/>
    <row r="114" ht="24.95" customHeight="1" x14ac:dyDescent="0.2"/>
    <row r="115" ht="24.95" customHeight="1" x14ac:dyDescent="0.2"/>
    <row r="116" ht="24.95" customHeight="1" x14ac:dyDescent="0.2"/>
    <row r="117" ht="24.95" customHeight="1" x14ac:dyDescent="0.2"/>
    <row r="118" ht="24.95" customHeight="1" x14ac:dyDescent="0.2"/>
    <row r="119" ht="24.95" customHeight="1" x14ac:dyDescent="0.2"/>
    <row r="120" ht="24.95" customHeight="1" x14ac:dyDescent="0.2"/>
    <row r="142" ht="30" customHeight="1" x14ac:dyDescent="0.2"/>
  </sheetData>
  <mergeCells count="8">
    <mergeCell ref="A1:J2"/>
    <mergeCell ref="A3:A4"/>
    <mergeCell ref="B3:B4"/>
    <mergeCell ref="C3:C4"/>
    <mergeCell ref="D3:D4"/>
    <mergeCell ref="E3:F3"/>
    <mergeCell ref="G3:H3"/>
    <mergeCell ref="I3:J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4D67F-9372-405B-A9A0-9643D0A87FE3}">
  <sheetPr>
    <tabColor theme="1" tint="0.249977111117893"/>
  </sheetPr>
  <dimension ref="A1:K139"/>
  <sheetViews>
    <sheetView showGridLines="0" zoomScale="80" zoomScaleNormal="80" workbookViewId="0">
      <selection activeCell="O12" sqref="O12"/>
    </sheetView>
  </sheetViews>
  <sheetFormatPr defaultRowHeight="12.75" x14ac:dyDescent="0.2"/>
  <cols>
    <col min="1" max="1" width="3.6640625" customWidth="1"/>
    <col min="2" max="2" width="34.33203125" customWidth="1"/>
    <col min="3" max="5" width="15.83203125" customWidth="1"/>
    <col min="6" max="6" width="20" customWidth="1"/>
    <col min="7" max="8" width="15.83203125" customWidth="1"/>
    <col min="9" max="9" width="14.5" customWidth="1"/>
    <col min="10" max="10" width="14.33203125" customWidth="1"/>
    <col min="11" max="11" width="20.5" bestFit="1" customWidth="1"/>
    <col min="12" max="13" width="15.83203125" customWidth="1"/>
  </cols>
  <sheetData>
    <row r="1" spans="1:11" ht="12.75" customHeight="1" x14ac:dyDescent="0.2">
      <c r="A1" s="126" t="s">
        <v>212</v>
      </c>
      <c r="B1" s="127"/>
      <c r="C1" s="127"/>
      <c r="D1" s="127"/>
      <c r="E1" s="127"/>
      <c r="F1" s="127"/>
      <c r="G1" s="127"/>
      <c r="H1" s="127"/>
      <c r="I1" s="127"/>
      <c r="J1" s="128"/>
      <c r="K1" s="108"/>
    </row>
    <row r="2" spans="1:11" ht="23.25" customHeight="1" thickBot="1" x14ac:dyDescent="0.25">
      <c r="A2" s="129"/>
      <c r="B2" s="130"/>
      <c r="C2" s="130"/>
      <c r="D2" s="130"/>
      <c r="E2" s="130"/>
      <c r="F2" s="130"/>
      <c r="G2" s="130"/>
      <c r="H2" s="130"/>
      <c r="I2" s="130"/>
      <c r="J2" s="131"/>
      <c r="K2" s="108"/>
    </row>
    <row r="3" spans="1:11" ht="16.5" customHeight="1" x14ac:dyDescent="0.2">
      <c r="A3" s="132" t="s">
        <v>188</v>
      </c>
      <c r="B3" s="134" t="s">
        <v>41</v>
      </c>
      <c r="C3" s="136"/>
      <c r="D3" s="138" t="s">
        <v>135</v>
      </c>
      <c r="E3" s="140" t="s">
        <v>7</v>
      </c>
      <c r="F3" s="140"/>
      <c r="G3" s="138"/>
      <c r="H3" s="138"/>
      <c r="I3" s="141"/>
      <c r="J3" s="142"/>
    </row>
    <row r="4" spans="1:11" ht="37.5" customHeight="1" thickBot="1" x14ac:dyDescent="0.25">
      <c r="A4" s="133"/>
      <c r="B4" s="135"/>
      <c r="C4" s="137"/>
      <c r="D4" s="139"/>
      <c r="E4" s="112" t="s">
        <v>206</v>
      </c>
      <c r="F4" s="113" t="s">
        <v>204</v>
      </c>
      <c r="G4" s="112"/>
      <c r="H4" s="112"/>
      <c r="I4" s="112"/>
      <c r="J4" s="114"/>
    </row>
    <row r="5" spans="1:11" ht="16.5" customHeight="1" x14ac:dyDescent="0.25">
      <c r="A5" s="115"/>
      <c r="B5" s="116">
        <v>2</v>
      </c>
      <c r="C5" s="116">
        <v>3</v>
      </c>
      <c r="D5" s="116">
        <v>4</v>
      </c>
      <c r="E5" s="116">
        <v>5</v>
      </c>
      <c r="F5" s="116">
        <v>6</v>
      </c>
      <c r="G5" s="116">
        <v>7</v>
      </c>
      <c r="H5" s="116">
        <v>8</v>
      </c>
      <c r="I5" s="116">
        <v>9</v>
      </c>
      <c r="J5" s="116">
        <v>10</v>
      </c>
    </row>
    <row r="6" spans="1:11" ht="24.95" customHeight="1" x14ac:dyDescent="0.25">
      <c r="A6" s="117">
        <v>1</v>
      </c>
      <c r="B6" s="118" t="s">
        <v>209</v>
      </c>
      <c r="C6" s="119" t="s">
        <v>186</v>
      </c>
      <c r="D6" s="120">
        <v>250</v>
      </c>
      <c r="E6" s="119">
        <v>20</v>
      </c>
      <c r="F6" s="119">
        <v>5000</v>
      </c>
      <c r="G6" s="118"/>
      <c r="H6" s="118"/>
      <c r="I6" s="118"/>
      <c r="J6" s="118"/>
    </row>
    <row r="7" spans="1:11" ht="24.95" customHeight="1" x14ac:dyDescent="0.25">
      <c r="A7" s="122">
        <v>2</v>
      </c>
      <c r="B7" s="118" t="s">
        <v>211</v>
      </c>
      <c r="C7" s="119" t="s">
        <v>205</v>
      </c>
      <c r="D7" s="119">
        <v>30</v>
      </c>
      <c r="E7" s="121">
        <v>25</v>
      </c>
      <c r="F7" s="119">
        <v>750</v>
      </c>
      <c r="G7" s="118"/>
      <c r="H7" s="118"/>
      <c r="I7" s="118"/>
      <c r="J7" s="118"/>
    </row>
    <row r="8" spans="1:11" ht="24.95" customHeight="1" x14ac:dyDescent="0.25">
      <c r="A8" s="117">
        <v>3</v>
      </c>
      <c r="B8" s="118" t="s">
        <v>213</v>
      </c>
      <c r="C8" s="119" t="s">
        <v>186</v>
      </c>
      <c r="D8" s="119">
        <v>108</v>
      </c>
      <c r="E8" s="119">
        <v>63</v>
      </c>
      <c r="F8" s="119">
        <v>6804</v>
      </c>
      <c r="G8" s="118"/>
      <c r="H8" s="118"/>
      <c r="I8" s="118"/>
      <c r="J8" s="118"/>
    </row>
    <row r="9" spans="1:11" ht="29.25" customHeight="1" x14ac:dyDescent="0.25">
      <c r="A9" s="117">
        <v>4</v>
      </c>
      <c r="B9" s="118" t="s">
        <v>19</v>
      </c>
      <c r="C9" s="119" t="s">
        <v>186</v>
      </c>
      <c r="D9" s="121">
        <v>108</v>
      </c>
      <c r="E9" s="121">
        <v>15</v>
      </c>
      <c r="F9" s="119">
        <v>1620</v>
      </c>
      <c r="G9" s="118"/>
      <c r="H9" s="118"/>
      <c r="I9" s="118"/>
      <c r="J9" s="118"/>
    </row>
    <row r="10" spans="1:11" ht="30.75" customHeight="1" x14ac:dyDescent="0.25">
      <c r="A10" s="117">
        <v>5</v>
      </c>
      <c r="B10" s="118"/>
      <c r="C10" s="119"/>
      <c r="D10" s="119"/>
      <c r="E10" s="119"/>
      <c r="F10" s="119"/>
      <c r="G10" s="118"/>
      <c r="H10" s="118"/>
      <c r="I10" s="118"/>
      <c r="J10" s="118"/>
    </row>
    <row r="11" spans="1:11" ht="27.75" customHeight="1" x14ac:dyDescent="0.25">
      <c r="A11" s="122">
        <v>6</v>
      </c>
      <c r="B11" s="118"/>
      <c r="C11" s="119"/>
      <c r="D11" s="119"/>
      <c r="E11" s="119"/>
      <c r="F11" s="119"/>
      <c r="G11" s="118"/>
      <c r="H11" s="118"/>
      <c r="I11" s="118"/>
      <c r="J11" s="118"/>
    </row>
    <row r="12" spans="1:11" ht="29.25" customHeight="1" x14ac:dyDescent="0.25">
      <c r="A12" s="117">
        <v>7</v>
      </c>
      <c r="B12" s="118"/>
      <c r="C12" s="119"/>
      <c r="D12" s="119"/>
      <c r="E12" s="119"/>
      <c r="F12" s="119"/>
      <c r="G12" s="118"/>
      <c r="H12" s="118"/>
      <c r="I12" s="118"/>
      <c r="J12" s="118"/>
    </row>
    <row r="13" spans="1:11" ht="24.95" customHeight="1" x14ac:dyDescent="0.25">
      <c r="A13" s="117">
        <v>8</v>
      </c>
      <c r="B13" s="118"/>
      <c r="C13" s="119"/>
      <c r="D13" s="119"/>
      <c r="E13" s="119"/>
      <c r="F13" s="119"/>
      <c r="G13" s="118"/>
      <c r="H13" s="118"/>
      <c r="I13" s="118"/>
      <c r="J13" s="118"/>
    </row>
    <row r="14" spans="1:11" ht="24.95" customHeight="1" x14ac:dyDescent="0.25">
      <c r="A14" s="117">
        <v>9</v>
      </c>
      <c r="B14" s="118"/>
      <c r="C14" s="119"/>
      <c r="D14" s="119"/>
      <c r="E14" s="119"/>
      <c r="F14" s="121"/>
      <c r="G14" s="118"/>
      <c r="H14" s="118"/>
      <c r="I14" s="118"/>
      <c r="J14" s="118"/>
    </row>
    <row r="15" spans="1:11" ht="24.95" customHeight="1" x14ac:dyDescent="0.25">
      <c r="A15" s="122">
        <v>10</v>
      </c>
      <c r="B15" s="118"/>
      <c r="C15" s="119"/>
      <c r="D15" s="119"/>
      <c r="E15" s="119"/>
      <c r="F15" s="119"/>
      <c r="G15" s="118"/>
      <c r="H15" s="118"/>
      <c r="I15" s="118"/>
      <c r="J15" s="118"/>
    </row>
    <row r="16" spans="1:11" ht="24.95" customHeight="1" x14ac:dyDescent="0.25">
      <c r="A16" s="117">
        <v>11</v>
      </c>
      <c r="B16" s="118"/>
      <c r="C16" s="119"/>
      <c r="D16" s="119"/>
      <c r="E16" s="119"/>
      <c r="F16" s="119"/>
      <c r="G16" s="118"/>
      <c r="H16" s="118"/>
      <c r="I16" s="118"/>
      <c r="J16" s="118"/>
    </row>
    <row r="17" spans="1:10" ht="24.95" customHeight="1" x14ac:dyDescent="0.25">
      <c r="A17" s="117">
        <v>12</v>
      </c>
      <c r="B17" s="118"/>
      <c r="C17" s="119"/>
      <c r="D17" s="119"/>
      <c r="E17" s="119"/>
      <c r="F17" s="125"/>
      <c r="G17" s="118"/>
      <c r="H17" s="118"/>
      <c r="I17" s="118"/>
      <c r="J17" s="118"/>
    </row>
    <row r="18" spans="1:10" ht="24.95" customHeight="1" x14ac:dyDescent="0.25">
      <c r="A18" s="117">
        <v>13</v>
      </c>
      <c r="B18" s="118"/>
      <c r="C18" s="119"/>
      <c r="D18" s="119"/>
      <c r="E18" s="119"/>
      <c r="F18" s="119"/>
      <c r="G18" s="118"/>
      <c r="H18" s="118"/>
      <c r="I18" s="118"/>
      <c r="J18" s="118"/>
    </row>
    <row r="19" spans="1:10" ht="24.95" customHeight="1" x14ac:dyDescent="0.2">
      <c r="A19" s="85"/>
      <c r="B19" s="84"/>
      <c r="C19" s="87"/>
      <c r="D19" s="87"/>
      <c r="E19" s="87"/>
      <c r="F19" s="101"/>
      <c r="G19" s="102"/>
      <c r="H19" s="102"/>
      <c r="I19" s="102"/>
      <c r="J19" s="102"/>
    </row>
    <row r="20" spans="1:10" s="82" customFormat="1" ht="24.95" customHeight="1" x14ac:dyDescent="0.2">
      <c r="A20" s="16"/>
      <c r="B20" s="17"/>
      <c r="C20" s="13"/>
      <c r="D20" s="13"/>
      <c r="E20" s="13"/>
      <c r="F20" s="165">
        <f>SUM(F6:F19)</f>
        <v>14174</v>
      </c>
      <c r="G20"/>
      <c r="H20"/>
      <c r="I20"/>
      <c r="J20"/>
    </row>
    <row r="21" spans="1:10" s="82" customFormat="1" ht="24.95" customHeight="1" x14ac:dyDescent="0.2">
      <c r="A21" s="16"/>
      <c r="B21" s="17"/>
      <c r="C21" s="13"/>
      <c r="D21" s="13"/>
      <c r="E21" s="13"/>
      <c r="F21"/>
      <c r="G21"/>
      <c r="H21"/>
      <c r="I21"/>
      <c r="J21"/>
    </row>
    <row r="22" spans="1:10" s="82" customFormat="1" ht="24.95" customHeight="1" x14ac:dyDescent="0.2">
      <c r="A22"/>
      <c r="B22"/>
      <c r="C22"/>
      <c r="D22"/>
      <c r="E22"/>
      <c r="F22"/>
      <c r="G22"/>
      <c r="H22"/>
      <c r="I22"/>
      <c r="J22"/>
    </row>
    <row r="23" spans="1:10" s="82" customFormat="1" ht="24.95" customHeight="1" x14ac:dyDescent="0.2">
      <c r="A23"/>
      <c r="B23"/>
      <c r="C23"/>
      <c r="D23"/>
      <c r="E23"/>
      <c r="F23"/>
      <c r="G23"/>
      <c r="H23"/>
      <c r="I23"/>
      <c r="J23"/>
    </row>
    <row r="24" spans="1:10" s="82" customFormat="1" ht="24.95" customHeight="1" x14ac:dyDescent="0.2">
      <c r="A24"/>
      <c r="B24"/>
      <c r="C24"/>
      <c r="D24"/>
      <c r="E24"/>
      <c r="F24"/>
      <c r="G24"/>
      <c r="H24"/>
      <c r="I24"/>
      <c r="J24"/>
    </row>
    <row r="25" spans="1:10" s="82" customFormat="1" ht="24.95" customHeight="1" x14ac:dyDescent="0.2">
      <c r="A25"/>
      <c r="B25"/>
      <c r="C25"/>
      <c r="D25"/>
      <c r="E25"/>
      <c r="F25"/>
      <c r="G25"/>
      <c r="H25"/>
      <c r="I25"/>
      <c r="J25"/>
    </row>
    <row r="26" spans="1:10" s="82" customFormat="1" ht="24.95" customHeight="1" x14ac:dyDescent="0.2">
      <c r="A26"/>
      <c r="B26"/>
      <c r="C26"/>
      <c r="D26"/>
      <c r="E26"/>
      <c r="F26"/>
      <c r="G26"/>
      <c r="H26"/>
      <c r="I26"/>
      <c r="J26"/>
    </row>
    <row r="27" spans="1:10" s="82" customFormat="1" ht="24.95" customHeight="1" x14ac:dyDescent="0.2">
      <c r="A27"/>
      <c r="B27"/>
      <c r="C27"/>
      <c r="D27"/>
      <c r="E27"/>
      <c r="F27"/>
      <c r="G27"/>
      <c r="H27"/>
      <c r="I27"/>
      <c r="J27" s="111"/>
    </row>
    <row r="28" spans="1:10" ht="24.95" customHeight="1" x14ac:dyDescent="0.2"/>
    <row r="29" spans="1:10" ht="24.95" customHeight="1" x14ac:dyDescent="0.2"/>
    <row r="30" spans="1:10" ht="24.95" customHeight="1" x14ac:dyDescent="0.2"/>
    <row r="31" spans="1:10" ht="24.95" customHeight="1" x14ac:dyDescent="0.2"/>
    <row r="32" spans="1:10" ht="24.95" customHeight="1" x14ac:dyDescent="0.2"/>
    <row r="33" spans="11:11" ht="24.95" customHeight="1" x14ac:dyDescent="0.2"/>
    <row r="34" spans="11:11" ht="24.95" customHeight="1" x14ac:dyDescent="0.2">
      <c r="K34" s="10"/>
    </row>
    <row r="35" spans="11:11" ht="24.95" customHeight="1" x14ac:dyDescent="0.2"/>
    <row r="36" spans="11:11" ht="24.95" customHeight="1" x14ac:dyDescent="0.2"/>
    <row r="37" spans="11:11" ht="24.95" customHeight="1" x14ac:dyDescent="0.2"/>
    <row r="38" spans="11:11" ht="24.95" customHeight="1" x14ac:dyDescent="0.2"/>
    <row r="39" spans="11:11" ht="24.95" customHeight="1" x14ac:dyDescent="0.2"/>
    <row r="40" spans="11:11" ht="24.95" customHeight="1" x14ac:dyDescent="0.2"/>
    <row r="41" spans="11:11" ht="24.95" customHeight="1" x14ac:dyDescent="0.2"/>
    <row r="42" spans="11:11" ht="24.95" customHeight="1" x14ac:dyDescent="0.2"/>
    <row r="43" spans="11:11" ht="24.95" customHeight="1" x14ac:dyDescent="0.2"/>
    <row r="44" spans="11:11" ht="24.95" customHeight="1" x14ac:dyDescent="0.2"/>
    <row r="45" spans="11:11" ht="24.95" customHeight="1" x14ac:dyDescent="0.2"/>
    <row r="46" spans="11:11" ht="24.95" customHeight="1" x14ac:dyDescent="0.2"/>
    <row r="47" spans="11:11" ht="24.95" customHeight="1" x14ac:dyDescent="0.2"/>
    <row r="48" spans="11:11" ht="24.95" customHeight="1" x14ac:dyDescent="0.2"/>
    <row r="49" ht="24.95" customHeight="1" x14ac:dyDescent="0.2"/>
    <row r="50" ht="24.95" customHeight="1" x14ac:dyDescent="0.2"/>
    <row r="51" ht="24.95" customHeight="1" x14ac:dyDescent="0.2"/>
    <row r="52" ht="24.95" customHeight="1" x14ac:dyDescent="0.2"/>
    <row r="53" ht="24.95" customHeight="1" x14ac:dyDescent="0.2"/>
    <row r="54" ht="24.95" customHeight="1" x14ac:dyDescent="0.2"/>
    <row r="55" ht="24.95" customHeight="1" x14ac:dyDescent="0.2"/>
    <row r="56" ht="24.95" customHeight="1" x14ac:dyDescent="0.2"/>
    <row r="57" ht="24.95" customHeight="1" x14ac:dyDescent="0.2"/>
    <row r="58" ht="24.95" customHeight="1" x14ac:dyDescent="0.2"/>
    <row r="59" ht="24.95" customHeight="1" x14ac:dyDescent="0.2"/>
    <row r="60" ht="24.95" customHeight="1" x14ac:dyDescent="0.2"/>
    <row r="61" ht="24.95" customHeight="1" x14ac:dyDescent="0.2"/>
    <row r="62" ht="24.95" customHeight="1" x14ac:dyDescent="0.2"/>
    <row r="63" ht="24.95" customHeight="1" x14ac:dyDescent="0.2"/>
    <row r="64" ht="24.95" customHeight="1" x14ac:dyDescent="0.2"/>
    <row r="65" ht="24.95" customHeight="1" x14ac:dyDescent="0.2"/>
    <row r="66" ht="24.95" customHeight="1" x14ac:dyDescent="0.2"/>
    <row r="67" ht="35.25" customHeight="1" x14ac:dyDescent="0.2"/>
    <row r="80" ht="24.95" customHeight="1" x14ac:dyDescent="0.2"/>
    <row r="81" ht="24.95" customHeight="1" x14ac:dyDescent="0.2"/>
    <row r="82" ht="24.95" customHeight="1" x14ac:dyDescent="0.2"/>
    <row r="83" ht="24.95" customHeight="1" x14ac:dyDescent="0.2"/>
    <row r="84" ht="24.95" customHeight="1" x14ac:dyDescent="0.2"/>
    <row r="85" ht="24.95" customHeight="1" x14ac:dyDescent="0.2"/>
    <row r="86" ht="24.95" customHeight="1" x14ac:dyDescent="0.2"/>
    <row r="87" ht="24.95" customHeight="1" x14ac:dyDescent="0.2"/>
    <row r="88" ht="24.95" customHeight="1" x14ac:dyDescent="0.2"/>
    <row r="89" ht="24.95" customHeight="1" x14ac:dyDescent="0.2"/>
    <row r="90" ht="24.95" customHeight="1" x14ac:dyDescent="0.2"/>
    <row r="91" ht="24.95" customHeight="1" x14ac:dyDescent="0.2"/>
    <row r="92" ht="24.95" customHeight="1" x14ac:dyDescent="0.2"/>
    <row r="93" ht="24.95" customHeight="1" x14ac:dyDescent="0.2"/>
    <row r="94" ht="24.95" customHeight="1" x14ac:dyDescent="0.2"/>
    <row r="95" ht="24.95" customHeight="1" x14ac:dyDescent="0.2"/>
    <row r="96" ht="24.95" customHeight="1" x14ac:dyDescent="0.2"/>
    <row r="97" ht="24.95" customHeight="1" x14ac:dyDescent="0.2"/>
    <row r="98" ht="24.95" customHeight="1" x14ac:dyDescent="0.2"/>
    <row r="99" ht="24.95" customHeight="1" x14ac:dyDescent="0.2"/>
    <row r="100" ht="24.95" customHeight="1" x14ac:dyDescent="0.2"/>
    <row r="101" ht="24.95" customHeight="1" x14ac:dyDescent="0.2"/>
    <row r="102" ht="24.95" customHeight="1" x14ac:dyDescent="0.2"/>
    <row r="103" ht="24.95" customHeight="1" x14ac:dyDescent="0.2"/>
    <row r="104" ht="24.95" customHeight="1" x14ac:dyDescent="0.2"/>
    <row r="105" ht="24.95" customHeight="1" x14ac:dyDescent="0.2"/>
    <row r="106" ht="24.95" customHeight="1" x14ac:dyDescent="0.2"/>
    <row r="107" ht="24.95" customHeight="1" x14ac:dyDescent="0.2"/>
    <row r="108" ht="24.95" customHeight="1" x14ac:dyDescent="0.2"/>
    <row r="109" ht="24.95" customHeight="1" x14ac:dyDescent="0.2"/>
    <row r="110" ht="24.95" customHeight="1" x14ac:dyDescent="0.2"/>
    <row r="111" ht="24.95" customHeight="1" x14ac:dyDescent="0.2"/>
    <row r="112" ht="24.95" customHeight="1" x14ac:dyDescent="0.2"/>
    <row r="113" ht="24.95" customHeight="1" x14ac:dyDescent="0.2"/>
    <row r="114" ht="24.95" customHeight="1" x14ac:dyDescent="0.2"/>
    <row r="115" ht="24.95" customHeight="1" x14ac:dyDescent="0.2"/>
    <row r="116" ht="24.95" customHeight="1" x14ac:dyDescent="0.2"/>
    <row r="117" ht="24.95" customHeight="1" x14ac:dyDescent="0.2"/>
    <row r="139" ht="30" customHeight="1" x14ac:dyDescent="0.2"/>
  </sheetData>
  <mergeCells count="8">
    <mergeCell ref="A1:J2"/>
    <mergeCell ref="A3:A4"/>
    <mergeCell ref="B3:B4"/>
    <mergeCell ref="C3:C4"/>
    <mergeCell ref="D3:D4"/>
    <mergeCell ref="E3:F3"/>
    <mergeCell ref="G3:H3"/>
    <mergeCell ref="I3:J3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0D98E-2D98-477B-8593-6095DA3FF614}">
  <sheetPr>
    <tabColor theme="1" tint="0.249977111117893"/>
  </sheetPr>
  <dimension ref="A1:K139"/>
  <sheetViews>
    <sheetView showGridLines="0" tabSelected="1" zoomScale="80" zoomScaleNormal="80" workbookViewId="0">
      <selection activeCell="W14" sqref="W14"/>
    </sheetView>
  </sheetViews>
  <sheetFormatPr defaultRowHeight="12.75" x14ac:dyDescent="0.2"/>
  <cols>
    <col min="1" max="1" width="3.6640625" customWidth="1"/>
    <col min="2" max="2" width="34.33203125" customWidth="1"/>
    <col min="3" max="3" width="6.83203125" customWidth="1"/>
    <col min="4" max="5" width="15.83203125" customWidth="1"/>
    <col min="6" max="6" width="20" customWidth="1"/>
    <col min="7" max="8" width="15.83203125" customWidth="1"/>
    <col min="9" max="9" width="14.5" customWidth="1"/>
    <col min="10" max="10" width="14.33203125" customWidth="1"/>
    <col min="11" max="11" width="20.5" bestFit="1" customWidth="1"/>
    <col min="12" max="13" width="15.83203125" customWidth="1"/>
  </cols>
  <sheetData>
    <row r="1" spans="1:11" ht="12.75" customHeight="1" x14ac:dyDescent="0.2">
      <c r="A1" s="126" t="s">
        <v>161</v>
      </c>
      <c r="B1" s="127"/>
      <c r="C1" s="127"/>
      <c r="D1" s="127"/>
      <c r="E1" s="127"/>
      <c r="F1" s="127"/>
      <c r="G1" s="127"/>
      <c r="H1" s="127"/>
      <c r="I1" s="127"/>
      <c r="J1" s="128"/>
      <c r="K1" s="108"/>
    </row>
    <row r="2" spans="1:11" ht="23.25" customHeight="1" thickBot="1" x14ac:dyDescent="0.25">
      <c r="A2" s="129"/>
      <c r="B2" s="130"/>
      <c r="C2" s="130"/>
      <c r="D2" s="130"/>
      <c r="E2" s="130"/>
      <c r="F2" s="130"/>
      <c r="G2" s="130"/>
      <c r="H2" s="130"/>
      <c r="I2" s="130"/>
      <c r="J2" s="131"/>
      <c r="K2" s="108"/>
    </row>
    <row r="3" spans="1:11" ht="16.5" customHeight="1" x14ac:dyDescent="0.2">
      <c r="A3" s="132" t="s">
        <v>188</v>
      </c>
      <c r="B3" s="134" t="s">
        <v>41</v>
      </c>
      <c r="C3" s="136"/>
      <c r="D3" s="138" t="s">
        <v>135</v>
      </c>
      <c r="E3" s="140" t="s">
        <v>7</v>
      </c>
      <c r="F3" s="140"/>
      <c r="G3" s="138"/>
      <c r="H3" s="138"/>
      <c r="I3" s="141"/>
      <c r="J3" s="142"/>
    </row>
    <row r="4" spans="1:11" ht="37.5" customHeight="1" thickBot="1" x14ac:dyDescent="0.25">
      <c r="A4" s="133"/>
      <c r="B4" s="135"/>
      <c r="C4" s="137"/>
      <c r="D4" s="139"/>
      <c r="E4" s="112" t="s">
        <v>206</v>
      </c>
      <c r="F4" s="113" t="s">
        <v>204</v>
      </c>
      <c r="G4" s="112"/>
      <c r="H4" s="112"/>
      <c r="I4" s="112"/>
      <c r="J4" s="114"/>
    </row>
    <row r="5" spans="1:11" ht="16.5" customHeight="1" x14ac:dyDescent="0.25">
      <c r="A5" s="115"/>
      <c r="B5" s="116">
        <v>2</v>
      </c>
      <c r="C5" s="116">
        <v>3</v>
      </c>
      <c r="D5" s="116">
        <v>4</v>
      </c>
      <c r="E5" s="116">
        <v>5</v>
      </c>
      <c r="F5" s="116">
        <v>6</v>
      </c>
      <c r="G5" s="116">
        <v>7</v>
      </c>
      <c r="H5" s="116">
        <v>8</v>
      </c>
      <c r="I5" s="116">
        <v>9</v>
      </c>
      <c r="J5" s="116">
        <v>10</v>
      </c>
    </row>
    <row r="6" spans="1:11" ht="24.95" customHeight="1" x14ac:dyDescent="0.25">
      <c r="A6" s="117">
        <v>1</v>
      </c>
      <c r="B6" s="118" t="s">
        <v>216</v>
      </c>
      <c r="C6" s="119"/>
      <c r="D6" s="167">
        <v>14</v>
      </c>
      <c r="E6" s="119">
        <v>10513</v>
      </c>
      <c r="F6" s="166">
        <v>147182</v>
      </c>
      <c r="G6" s="118"/>
      <c r="H6" s="118"/>
      <c r="I6" s="118"/>
      <c r="J6" s="118"/>
    </row>
    <row r="7" spans="1:11" ht="24.95" customHeight="1" x14ac:dyDescent="0.25">
      <c r="A7" s="122">
        <v>2</v>
      </c>
      <c r="B7" s="118" t="s">
        <v>217</v>
      </c>
      <c r="C7" s="119"/>
      <c r="D7" s="119">
        <v>4</v>
      </c>
      <c r="E7" s="119">
        <v>13715.5</v>
      </c>
      <c r="F7" s="166">
        <v>54860</v>
      </c>
      <c r="G7" s="118"/>
      <c r="H7" s="118"/>
      <c r="I7" s="118"/>
      <c r="J7" s="118"/>
    </row>
    <row r="8" spans="1:11" ht="24.95" customHeight="1" x14ac:dyDescent="0.25">
      <c r="A8" s="117">
        <v>3</v>
      </c>
      <c r="B8" s="118" t="s">
        <v>218</v>
      </c>
      <c r="C8" s="119"/>
      <c r="D8" s="166">
        <v>1</v>
      </c>
      <c r="E8" s="119">
        <v>14174</v>
      </c>
      <c r="F8" s="166">
        <v>14174</v>
      </c>
      <c r="G8" s="118"/>
      <c r="H8" s="118"/>
      <c r="I8" s="118"/>
      <c r="J8" s="118"/>
    </row>
    <row r="9" spans="1:11" ht="29.25" customHeight="1" x14ac:dyDescent="0.25">
      <c r="A9" s="117">
        <v>4</v>
      </c>
      <c r="B9" s="118"/>
      <c r="C9" s="119"/>
      <c r="D9" s="121"/>
      <c r="E9" s="121"/>
      <c r="F9" s="119"/>
      <c r="G9" s="118"/>
      <c r="H9" s="118"/>
      <c r="I9" s="118"/>
      <c r="J9" s="118"/>
    </row>
    <row r="10" spans="1:11" ht="30.75" customHeight="1" x14ac:dyDescent="0.25">
      <c r="A10" s="117">
        <v>5</v>
      </c>
      <c r="B10" s="118"/>
      <c r="C10" s="119"/>
      <c r="D10" s="119"/>
      <c r="E10" s="119"/>
      <c r="F10" s="119"/>
      <c r="G10" s="118"/>
      <c r="H10" s="118"/>
      <c r="I10" s="118"/>
      <c r="J10" s="118"/>
    </row>
    <row r="11" spans="1:11" ht="27.75" customHeight="1" x14ac:dyDescent="0.25">
      <c r="A11" s="122">
        <v>6</v>
      </c>
      <c r="B11" s="118"/>
      <c r="C11" s="119"/>
      <c r="D11" s="119"/>
      <c r="E11" s="119"/>
      <c r="F11" s="119"/>
      <c r="G11" s="118"/>
      <c r="H11" s="118"/>
      <c r="I11" s="118"/>
      <c r="J11" s="118"/>
    </row>
    <row r="12" spans="1:11" ht="29.25" customHeight="1" x14ac:dyDescent="0.25">
      <c r="A12" s="117">
        <v>7</v>
      </c>
      <c r="B12" s="118"/>
      <c r="C12" s="119"/>
      <c r="D12" s="119"/>
      <c r="E12" s="119"/>
      <c r="F12" s="119"/>
      <c r="G12" s="118"/>
      <c r="H12" s="118"/>
      <c r="I12" s="118"/>
      <c r="J12" s="118"/>
    </row>
    <row r="13" spans="1:11" ht="24.95" customHeight="1" x14ac:dyDescent="0.25">
      <c r="A13" s="117">
        <v>8</v>
      </c>
      <c r="B13" s="118"/>
      <c r="C13" s="119"/>
      <c r="D13" s="119"/>
      <c r="E13" s="119"/>
      <c r="F13" s="119"/>
      <c r="G13" s="118"/>
      <c r="H13" s="118"/>
      <c r="I13" s="118"/>
      <c r="J13" s="118"/>
    </row>
    <row r="14" spans="1:11" ht="24.95" customHeight="1" x14ac:dyDescent="0.25">
      <c r="A14" s="117">
        <v>9</v>
      </c>
      <c r="B14" s="118"/>
      <c r="C14" s="119"/>
      <c r="D14" s="119"/>
      <c r="E14" s="119"/>
      <c r="F14" s="121"/>
      <c r="G14" s="118"/>
      <c r="H14" s="118"/>
      <c r="I14" s="118"/>
      <c r="J14" s="118"/>
    </row>
    <row r="15" spans="1:11" ht="24.95" customHeight="1" x14ac:dyDescent="0.25">
      <c r="A15" s="122">
        <v>10</v>
      </c>
      <c r="B15" s="118"/>
      <c r="C15" s="119"/>
      <c r="D15" s="119"/>
      <c r="E15" s="119"/>
      <c r="F15" s="119"/>
      <c r="G15" s="118"/>
      <c r="H15" s="118"/>
      <c r="I15" s="118"/>
      <c r="J15" s="118"/>
    </row>
    <row r="16" spans="1:11" ht="24.95" customHeight="1" x14ac:dyDescent="0.25">
      <c r="A16" s="117">
        <v>11</v>
      </c>
      <c r="B16" s="118"/>
      <c r="C16" s="119"/>
      <c r="D16" s="119"/>
      <c r="E16" s="119"/>
      <c r="F16" s="119"/>
      <c r="G16" s="118"/>
      <c r="H16" s="118"/>
      <c r="I16" s="118"/>
      <c r="J16" s="118"/>
    </row>
    <row r="17" spans="1:10" ht="24.95" customHeight="1" x14ac:dyDescent="0.25">
      <c r="A17" s="117">
        <v>12</v>
      </c>
      <c r="B17" s="118"/>
      <c r="C17" s="119"/>
      <c r="D17" s="119"/>
      <c r="E17" s="119"/>
      <c r="F17" s="125"/>
      <c r="G17" s="118"/>
      <c r="H17" s="118"/>
      <c r="I17" s="118"/>
      <c r="J17" s="118"/>
    </row>
    <row r="18" spans="1:10" ht="24.95" customHeight="1" x14ac:dyDescent="0.25">
      <c r="A18" s="117">
        <v>13</v>
      </c>
      <c r="B18" s="118"/>
      <c r="C18" s="119"/>
      <c r="D18" s="119"/>
      <c r="E18" s="119"/>
      <c r="F18" s="119"/>
      <c r="G18" s="118"/>
      <c r="H18" s="118"/>
      <c r="I18" s="118"/>
      <c r="J18" s="118"/>
    </row>
    <row r="19" spans="1:10" ht="24.95" customHeight="1" x14ac:dyDescent="0.2">
      <c r="A19" s="85"/>
      <c r="B19" s="84"/>
      <c r="C19" s="87"/>
      <c r="D19" s="87"/>
      <c r="E19" s="87"/>
      <c r="F19" s="101"/>
      <c r="G19" s="102"/>
      <c r="H19" s="102"/>
      <c r="I19" s="102"/>
      <c r="J19" s="102"/>
    </row>
    <row r="20" spans="1:10" s="82" customFormat="1" ht="24.95" customHeight="1" x14ac:dyDescent="0.2">
      <c r="A20" s="16"/>
      <c r="B20" s="17"/>
      <c r="C20" s="13"/>
      <c r="D20" s="13"/>
      <c r="E20" s="13"/>
      <c r="F20" s="165">
        <f>SUM(F6:F19)</f>
        <v>216216</v>
      </c>
      <c r="G20"/>
      <c r="H20"/>
      <c r="I20"/>
      <c r="J20"/>
    </row>
    <row r="21" spans="1:10" s="82" customFormat="1" ht="24.95" customHeight="1" x14ac:dyDescent="0.2">
      <c r="A21" s="16"/>
      <c r="B21" s="17"/>
      <c r="C21" s="13"/>
      <c r="D21" s="13"/>
      <c r="E21" s="13"/>
      <c r="F21"/>
      <c r="G21"/>
      <c r="H21"/>
      <c r="I21"/>
      <c r="J21"/>
    </row>
    <row r="22" spans="1:10" s="82" customFormat="1" ht="24.95" customHeight="1" x14ac:dyDescent="0.2">
      <c r="A22"/>
      <c r="B22"/>
      <c r="C22"/>
      <c r="D22"/>
      <c r="E22"/>
      <c r="F22"/>
      <c r="G22"/>
      <c r="H22"/>
      <c r="I22"/>
      <c r="J22"/>
    </row>
    <row r="23" spans="1:10" s="82" customFormat="1" ht="24.95" customHeight="1" x14ac:dyDescent="0.2">
      <c r="A23"/>
      <c r="B23"/>
      <c r="C23"/>
      <c r="D23"/>
      <c r="E23"/>
      <c r="F23"/>
      <c r="G23"/>
      <c r="H23"/>
      <c r="I23"/>
      <c r="J23"/>
    </row>
    <row r="24" spans="1:10" s="82" customFormat="1" ht="24.95" customHeight="1" x14ac:dyDescent="0.2">
      <c r="A24"/>
      <c r="B24"/>
      <c r="C24"/>
      <c r="D24"/>
      <c r="E24"/>
      <c r="F24"/>
      <c r="G24"/>
      <c r="H24"/>
      <c r="I24"/>
      <c r="J24"/>
    </row>
    <row r="25" spans="1:10" s="82" customFormat="1" ht="24.95" customHeight="1" x14ac:dyDescent="0.2">
      <c r="A25"/>
      <c r="B25"/>
      <c r="C25"/>
      <c r="D25"/>
      <c r="E25"/>
      <c r="F25"/>
      <c r="G25"/>
      <c r="H25"/>
      <c r="I25"/>
      <c r="J25"/>
    </row>
    <row r="26" spans="1:10" s="82" customFormat="1" ht="24.95" customHeight="1" x14ac:dyDescent="0.2">
      <c r="A26"/>
      <c r="B26"/>
      <c r="C26"/>
      <c r="D26"/>
      <c r="E26"/>
      <c r="F26"/>
      <c r="G26"/>
      <c r="H26"/>
      <c r="I26"/>
      <c r="J26"/>
    </row>
    <row r="27" spans="1:10" s="82" customFormat="1" ht="24.95" customHeight="1" x14ac:dyDescent="0.2">
      <c r="A27"/>
      <c r="B27"/>
      <c r="C27"/>
      <c r="D27"/>
      <c r="E27"/>
      <c r="F27"/>
      <c r="G27"/>
      <c r="H27"/>
      <c r="I27"/>
      <c r="J27" s="111"/>
    </row>
    <row r="28" spans="1:10" ht="24.95" customHeight="1" x14ac:dyDescent="0.2"/>
    <row r="29" spans="1:10" ht="24.95" customHeight="1" x14ac:dyDescent="0.2"/>
    <row r="30" spans="1:10" ht="24.95" customHeight="1" x14ac:dyDescent="0.2"/>
    <row r="31" spans="1:10" ht="24.95" customHeight="1" x14ac:dyDescent="0.2"/>
    <row r="32" spans="1:10" ht="24.95" customHeight="1" x14ac:dyDescent="0.2"/>
    <row r="33" spans="11:11" ht="24.95" customHeight="1" x14ac:dyDescent="0.2"/>
    <row r="34" spans="11:11" ht="24.95" customHeight="1" x14ac:dyDescent="0.2">
      <c r="K34" s="10"/>
    </row>
    <row r="35" spans="11:11" ht="24.95" customHeight="1" x14ac:dyDescent="0.2"/>
    <row r="36" spans="11:11" ht="24.95" customHeight="1" x14ac:dyDescent="0.2"/>
    <row r="37" spans="11:11" ht="24.95" customHeight="1" x14ac:dyDescent="0.2"/>
    <row r="38" spans="11:11" ht="24.95" customHeight="1" x14ac:dyDescent="0.2"/>
    <row r="39" spans="11:11" ht="24.95" customHeight="1" x14ac:dyDescent="0.2"/>
    <row r="40" spans="11:11" ht="24.95" customHeight="1" x14ac:dyDescent="0.2"/>
    <row r="41" spans="11:11" ht="24.95" customHeight="1" x14ac:dyDescent="0.2"/>
    <row r="42" spans="11:11" ht="24.95" customHeight="1" x14ac:dyDescent="0.2"/>
    <row r="43" spans="11:11" ht="24.95" customHeight="1" x14ac:dyDescent="0.2"/>
    <row r="44" spans="11:11" ht="24.95" customHeight="1" x14ac:dyDescent="0.2"/>
    <row r="45" spans="11:11" ht="24.95" customHeight="1" x14ac:dyDescent="0.2"/>
    <row r="46" spans="11:11" ht="24.95" customHeight="1" x14ac:dyDescent="0.2"/>
    <row r="47" spans="11:11" ht="24.95" customHeight="1" x14ac:dyDescent="0.2"/>
    <row r="48" spans="11:11" ht="24.95" customHeight="1" x14ac:dyDescent="0.2"/>
    <row r="49" ht="24.95" customHeight="1" x14ac:dyDescent="0.2"/>
    <row r="50" ht="24.95" customHeight="1" x14ac:dyDescent="0.2"/>
    <row r="51" ht="24.95" customHeight="1" x14ac:dyDescent="0.2"/>
    <row r="52" ht="24.95" customHeight="1" x14ac:dyDescent="0.2"/>
    <row r="53" ht="24.95" customHeight="1" x14ac:dyDescent="0.2"/>
    <row r="54" ht="24.95" customHeight="1" x14ac:dyDescent="0.2"/>
    <row r="55" ht="24.95" customHeight="1" x14ac:dyDescent="0.2"/>
    <row r="56" ht="24.95" customHeight="1" x14ac:dyDescent="0.2"/>
    <row r="57" ht="24.95" customHeight="1" x14ac:dyDescent="0.2"/>
    <row r="58" ht="24.95" customHeight="1" x14ac:dyDescent="0.2"/>
    <row r="59" ht="24.95" customHeight="1" x14ac:dyDescent="0.2"/>
    <row r="60" ht="24.95" customHeight="1" x14ac:dyDescent="0.2"/>
    <row r="61" ht="24.95" customHeight="1" x14ac:dyDescent="0.2"/>
    <row r="62" ht="24.95" customHeight="1" x14ac:dyDescent="0.2"/>
    <row r="63" ht="24.95" customHeight="1" x14ac:dyDescent="0.2"/>
    <row r="64" ht="24.95" customHeight="1" x14ac:dyDescent="0.2"/>
    <row r="65" ht="24.95" customHeight="1" x14ac:dyDescent="0.2"/>
    <row r="66" ht="24.95" customHeight="1" x14ac:dyDescent="0.2"/>
    <row r="67" ht="35.25" customHeight="1" x14ac:dyDescent="0.2"/>
    <row r="80" ht="24.95" customHeight="1" x14ac:dyDescent="0.2"/>
    <row r="81" ht="24.95" customHeight="1" x14ac:dyDescent="0.2"/>
    <row r="82" ht="24.95" customHeight="1" x14ac:dyDescent="0.2"/>
    <row r="83" ht="24.95" customHeight="1" x14ac:dyDescent="0.2"/>
    <row r="84" ht="24.95" customHeight="1" x14ac:dyDescent="0.2"/>
    <row r="85" ht="24.95" customHeight="1" x14ac:dyDescent="0.2"/>
    <row r="86" ht="24.95" customHeight="1" x14ac:dyDescent="0.2"/>
    <row r="87" ht="24.95" customHeight="1" x14ac:dyDescent="0.2"/>
    <row r="88" ht="24.95" customHeight="1" x14ac:dyDescent="0.2"/>
    <row r="89" ht="24.95" customHeight="1" x14ac:dyDescent="0.2"/>
    <row r="90" ht="24.95" customHeight="1" x14ac:dyDescent="0.2"/>
    <row r="91" ht="24.95" customHeight="1" x14ac:dyDescent="0.2"/>
    <row r="92" ht="24.95" customHeight="1" x14ac:dyDescent="0.2"/>
    <row r="93" ht="24.95" customHeight="1" x14ac:dyDescent="0.2"/>
    <row r="94" ht="24.95" customHeight="1" x14ac:dyDescent="0.2"/>
    <row r="95" ht="24.95" customHeight="1" x14ac:dyDescent="0.2"/>
    <row r="96" ht="24.95" customHeight="1" x14ac:dyDescent="0.2"/>
    <row r="97" ht="24.95" customHeight="1" x14ac:dyDescent="0.2"/>
    <row r="98" ht="24.95" customHeight="1" x14ac:dyDescent="0.2"/>
    <row r="99" ht="24.95" customHeight="1" x14ac:dyDescent="0.2"/>
    <row r="100" ht="24.95" customHeight="1" x14ac:dyDescent="0.2"/>
    <row r="101" ht="24.95" customHeight="1" x14ac:dyDescent="0.2"/>
    <row r="102" ht="24.95" customHeight="1" x14ac:dyDescent="0.2"/>
    <row r="103" ht="24.95" customHeight="1" x14ac:dyDescent="0.2"/>
    <row r="104" ht="24.95" customHeight="1" x14ac:dyDescent="0.2"/>
    <row r="105" ht="24.95" customHeight="1" x14ac:dyDescent="0.2"/>
    <row r="106" ht="24.95" customHeight="1" x14ac:dyDescent="0.2"/>
    <row r="107" ht="24.95" customHeight="1" x14ac:dyDescent="0.2"/>
    <row r="108" ht="24.95" customHeight="1" x14ac:dyDescent="0.2"/>
    <row r="109" ht="24.95" customHeight="1" x14ac:dyDescent="0.2"/>
    <row r="110" ht="24.95" customHeight="1" x14ac:dyDescent="0.2"/>
    <row r="111" ht="24.95" customHeight="1" x14ac:dyDescent="0.2"/>
    <row r="112" ht="24.95" customHeight="1" x14ac:dyDescent="0.2"/>
    <row r="113" ht="24.95" customHeight="1" x14ac:dyDescent="0.2"/>
    <row r="114" ht="24.95" customHeight="1" x14ac:dyDescent="0.2"/>
    <row r="115" ht="24.95" customHeight="1" x14ac:dyDescent="0.2"/>
    <row r="116" ht="24.95" customHeight="1" x14ac:dyDescent="0.2"/>
    <row r="117" ht="24.95" customHeight="1" x14ac:dyDescent="0.2"/>
    <row r="139" ht="30" customHeight="1" x14ac:dyDescent="0.2"/>
  </sheetData>
  <mergeCells count="8">
    <mergeCell ref="A1:J2"/>
    <mergeCell ref="A3:A4"/>
    <mergeCell ref="B3:B4"/>
    <mergeCell ref="C3:C4"/>
    <mergeCell ref="D3:D4"/>
    <mergeCell ref="E3:F3"/>
    <mergeCell ref="G3:H3"/>
    <mergeCell ref="I3:J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03E86-F31D-4A27-80DC-526B7ECF7F4B}">
  <dimension ref="B1:E5"/>
  <sheetViews>
    <sheetView showGridLines="0" workbookViewId="0">
      <selection activeCell="D24" sqref="D24"/>
    </sheetView>
  </sheetViews>
  <sheetFormatPr defaultRowHeight="12.75" x14ac:dyDescent="0.2"/>
  <cols>
    <col min="2" max="2" width="11.1640625" bestFit="1" customWidth="1"/>
    <col min="3" max="3" width="12.33203125" bestFit="1" customWidth="1"/>
    <col min="4" max="4" width="16.5" bestFit="1" customWidth="1"/>
    <col min="5" max="5" width="9" bestFit="1" customWidth="1"/>
  </cols>
  <sheetData>
    <row r="1" spans="2:5" x14ac:dyDescent="0.2">
      <c r="C1" s="35" t="s">
        <v>139</v>
      </c>
      <c r="D1" s="35" t="s">
        <v>150</v>
      </c>
    </row>
    <row r="2" spans="2:5" x14ac:dyDescent="0.2">
      <c r="B2" s="3" t="s">
        <v>137</v>
      </c>
      <c r="C2" s="56">
        <f>სამუშაო!F44+შემსრულებლები!E3+შემსრულებლები!E4+შემსრულებლები!E5</f>
        <v>34419.000000002001</v>
      </c>
      <c r="D2" s="7"/>
    </row>
    <row r="3" spans="2:5" x14ac:dyDescent="0.2">
      <c r="B3" s="3" t="s">
        <v>138</v>
      </c>
      <c r="C3" s="33">
        <f>მასალები!F69+ინსტრუმენტები!F12</f>
        <v>3775</v>
      </c>
      <c r="D3" s="7">
        <f>მასალები!F70</f>
        <v>30302.89</v>
      </c>
    </row>
    <row r="4" spans="2:5" x14ac:dyDescent="0.2">
      <c r="B4" s="143"/>
      <c r="C4" s="144"/>
      <c r="D4" s="145"/>
    </row>
    <row r="5" spans="2:5" x14ac:dyDescent="0.2">
      <c r="B5" s="3" t="s">
        <v>152</v>
      </c>
      <c r="C5" s="34">
        <f>C2+C3</f>
        <v>38194.000000002001</v>
      </c>
      <c r="D5" s="34">
        <f>D3</f>
        <v>30302.89</v>
      </c>
      <c r="E5" s="32" t="s">
        <v>151</v>
      </c>
    </row>
  </sheetData>
  <mergeCells count="1">
    <mergeCell ref="B4: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048576"/>
  <sheetViews>
    <sheetView showGridLines="0" topLeftCell="A162" zoomScale="90" zoomScaleNormal="90" workbookViewId="0">
      <selection activeCell="A3" sqref="A3:L183"/>
    </sheetView>
  </sheetViews>
  <sheetFormatPr defaultRowHeight="12.75" x14ac:dyDescent="0.2"/>
  <cols>
    <col min="1" max="1" width="7.83203125" customWidth="1"/>
    <col min="2" max="2" width="54.6640625" customWidth="1"/>
    <col min="3" max="3" width="10.83203125" customWidth="1"/>
    <col min="4" max="4" width="21.5" customWidth="1"/>
    <col min="5" max="5" width="23.83203125" bestFit="1" customWidth="1"/>
    <col min="6" max="6" width="28.33203125" customWidth="1"/>
    <col min="7" max="7" width="13.33203125" customWidth="1"/>
    <col min="8" max="8" width="21.5" customWidth="1"/>
    <col min="9" max="9" width="10.83203125" customWidth="1"/>
    <col min="10" max="10" width="16.83203125" customWidth="1"/>
    <col min="11" max="11" width="24" customWidth="1"/>
    <col min="12" max="12" width="19.33203125" customWidth="1"/>
  </cols>
  <sheetData>
    <row r="1" spans="1:12" x14ac:dyDescent="0.2">
      <c r="F1" s="60"/>
      <c r="K1" s="60"/>
    </row>
    <row r="2" spans="1:12" ht="15.75" x14ac:dyDescent="0.25">
      <c r="F2" s="60"/>
      <c r="K2" s="60"/>
      <c r="L2" s="62"/>
    </row>
    <row r="3" spans="1:12" ht="16.5" customHeight="1" x14ac:dyDescent="0.25">
      <c r="A3" s="149" t="s">
        <v>0</v>
      </c>
      <c r="B3" s="147" t="s">
        <v>1</v>
      </c>
      <c r="C3" s="150" t="s">
        <v>2</v>
      </c>
      <c r="D3" s="147" t="s">
        <v>3</v>
      </c>
      <c r="E3" s="151" t="s">
        <v>7</v>
      </c>
      <c r="F3" s="151"/>
      <c r="G3" s="147" t="s">
        <v>8</v>
      </c>
      <c r="H3" s="147"/>
      <c r="I3" s="148" t="s">
        <v>4</v>
      </c>
      <c r="J3" s="148"/>
      <c r="K3" s="78"/>
      <c r="L3" s="53"/>
    </row>
    <row r="4" spans="1:12" ht="16.5" customHeight="1" x14ac:dyDescent="0.25">
      <c r="A4" s="149"/>
      <c r="B4" s="147"/>
      <c r="C4" s="150"/>
      <c r="D4" s="147"/>
      <c r="E4" s="79" t="s">
        <v>5</v>
      </c>
      <c r="F4" s="80" t="s">
        <v>6</v>
      </c>
      <c r="G4" s="79" t="s">
        <v>5</v>
      </c>
      <c r="H4" s="79" t="s">
        <v>6</v>
      </c>
      <c r="I4" s="79" t="s">
        <v>5</v>
      </c>
      <c r="J4" s="79" t="s">
        <v>6</v>
      </c>
      <c r="K4" s="78"/>
      <c r="L4" s="53"/>
    </row>
    <row r="5" spans="1:12" ht="16.5" customHeight="1" x14ac:dyDescent="0.25">
      <c r="A5" s="26"/>
      <c r="B5" s="14">
        <v>2</v>
      </c>
      <c r="C5" s="14">
        <v>3</v>
      </c>
      <c r="D5" s="14">
        <v>4</v>
      </c>
      <c r="E5" s="14">
        <v>5</v>
      </c>
      <c r="F5" s="81">
        <v>6</v>
      </c>
      <c r="G5" s="14">
        <v>7</v>
      </c>
      <c r="H5" s="14">
        <v>8</v>
      </c>
      <c r="I5" s="14">
        <v>9</v>
      </c>
      <c r="J5" s="14">
        <v>10</v>
      </c>
      <c r="K5" s="65" t="s">
        <v>163</v>
      </c>
      <c r="L5" s="65" t="s">
        <v>166</v>
      </c>
    </row>
    <row r="6" spans="1:12" s="46" customFormat="1" ht="18" x14ac:dyDescent="0.25">
      <c r="A6" s="75">
        <v>1</v>
      </c>
      <c r="B6" s="61" t="s">
        <v>9</v>
      </c>
      <c r="C6" s="76" t="s">
        <v>10</v>
      </c>
      <c r="D6" s="61"/>
      <c r="E6" s="61"/>
      <c r="F6" s="77">
        <v>0</v>
      </c>
      <c r="G6" s="61"/>
      <c r="H6" s="61"/>
      <c r="I6" s="61"/>
      <c r="J6" s="61"/>
      <c r="K6" s="63" t="s">
        <v>169</v>
      </c>
      <c r="L6" s="63" t="s">
        <v>167</v>
      </c>
    </row>
    <row r="7" spans="1:12" s="46" customFormat="1" ht="39" customHeight="1" x14ac:dyDescent="0.25">
      <c r="A7" s="47">
        <v>2</v>
      </c>
      <c r="B7" s="48" t="s">
        <v>11</v>
      </c>
      <c r="C7" s="45" t="s">
        <v>12</v>
      </c>
      <c r="D7" s="44"/>
      <c r="E7" s="44"/>
      <c r="F7" s="66">
        <v>0</v>
      </c>
      <c r="G7" s="44"/>
      <c r="H7" s="44"/>
      <c r="I7" s="44"/>
      <c r="J7" s="44"/>
      <c r="K7" s="57" t="s">
        <v>169</v>
      </c>
      <c r="L7" s="57" t="s">
        <v>167</v>
      </c>
    </row>
    <row r="8" spans="1:12" s="46" customFormat="1" ht="18" x14ac:dyDescent="0.25">
      <c r="A8" s="43">
        <v>3</v>
      </c>
      <c r="B8" s="44" t="s">
        <v>15</v>
      </c>
      <c r="C8" s="44"/>
      <c r="D8" s="44"/>
      <c r="E8" s="44"/>
      <c r="F8" s="66">
        <v>0</v>
      </c>
      <c r="G8" s="44"/>
      <c r="H8" s="44"/>
      <c r="I8" s="44"/>
      <c r="J8" s="44"/>
      <c r="K8" s="57" t="s">
        <v>169</v>
      </c>
      <c r="L8" s="57" t="s">
        <v>168</v>
      </c>
    </row>
    <row r="9" spans="1:12" s="46" customFormat="1" ht="16.5" customHeight="1" x14ac:dyDescent="0.25">
      <c r="A9" s="43">
        <v>4</v>
      </c>
      <c r="B9" s="44" t="s">
        <v>13</v>
      </c>
      <c r="C9" s="45" t="s">
        <v>10</v>
      </c>
      <c r="D9" s="44"/>
      <c r="E9" s="44"/>
      <c r="F9" s="66">
        <v>0</v>
      </c>
      <c r="G9" s="44"/>
      <c r="H9" s="44"/>
      <c r="I9" s="44"/>
      <c r="J9" s="44"/>
      <c r="K9" s="57" t="s">
        <v>169</v>
      </c>
      <c r="L9" s="57" t="s">
        <v>168</v>
      </c>
    </row>
    <row r="10" spans="1:12" s="46" customFormat="1" ht="18" x14ac:dyDescent="0.25">
      <c r="A10" s="43">
        <v>5</v>
      </c>
      <c r="B10" s="44" t="s">
        <v>14</v>
      </c>
      <c r="C10" s="44"/>
      <c r="D10" s="44"/>
      <c r="E10" s="45">
        <v>18</v>
      </c>
      <c r="F10" s="66">
        <v>0</v>
      </c>
      <c r="G10" s="44"/>
      <c r="H10" s="44"/>
      <c r="I10" s="44"/>
      <c r="J10" s="44"/>
      <c r="K10" s="57" t="s">
        <v>169</v>
      </c>
      <c r="L10" s="57" t="s">
        <v>168</v>
      </c>
    </row>
    <row r="11" spans="1:12" s="46" customFormat="1" ht="18" x14ac:dyDescent="0.25">
      <c r="A11" s="43">
        <v>6</v>
      </c>
      <c r="B11" s="44" t="s">
        <v>16</v>
      </c>
      <c r="C11" s="44"/>
      <c r="D11" s="44"/>
      <c r="E11" s="45">
        <v>18</v>
      </c>
      <c r="F11" s="66">
        <v>0</v>
      </c>
      <c r="G11" s="44"/>
      <c r="H11" s="44"/>
      <c r="I11" s="44"/>
      <c r="J11" s="44"/>
      <c r="K11" s="57" t="s">
        <v>169</v>
      </c>
      <c r="L11" s="57" t="s">
        <v>167</v>
      </c>
    </row>
    <row r="12" spans="1:12" s="46" customFormat="1" ht="18" x14ac:dyDescent="0.25">
      <c r="A12" s="47">
        <v>7</v>
      </c>
      <c r="B12" s="44" t="s">
        <v>17</v>
      </c>
      <c r="C12" s="44"/>
      <c r="D12" s="44"/>
      <c r="E12" s="44"/>
      <c r="F12" s="66">
        <v>0</v>
      </c>
      <c r="G12" s="44"/>
      <c r="H12" s="44"/>
      <c r="I12" s="44"/>
      <c r="J12" s="44"/>
      <c r="K12" s="57" t="s">
        <v>169</v>
      </c>
      <c r="L12" s="57" t="s">
        <v>167</v>
      </c>
    </row>
    <row r="13" spans="1:12" s="46" customFormat="1" ht="18" x14ac:dyDescent="0.25">
      <c r="A13" s="43">
        <v>8</v>
      </c>
      <c r="B13" s="44" t="s">
        <v>18</v>
      </c>
      <c r="C13" s="44"/>
      <c r="D13" s="44"/>
      <c r="E13" s="45">
        <v>18</v>
      </c>
      <c r="F13" s="66">
        <v>0</v>
      </c>
      <c r="G13" s="44"/>
      <c r="H13" s="44"/>
      <c r="I13" s="44"/>
      <c r="J13" s="44"/>
      <c r="K13" s="57" t="s">
        <v>169</v>
      </c>
      <c r="L13" s="57" t="s">
        <v>167</v>
      </c>
    </row>
    <row r="14" spans="1:12" s="46" customFormat="1" ht="18" x14ac:dyDescent="0.25">
      <c r="A14" s="43">
        <v>9</v>
      </c>
      <c r="B14" s="44" t="s">
        <v>20</v>
      </c>
      <c r="C14" s="44"/>
      <c r="D14" s="44"/>
      <c r="E14" s="49"/>
      <c r="F14" s="66">
        <v>0</v>
      </c>
      <c r="G14" s="44"/>
      <c r="H14" s="44"/>
      <c r="I14" s="44"/>
      <c r="J14" s="44"/>
      <c r="K14" s="57" t="s">
        <v>169</v>
      </c>
      <c r="L14" s="57" t="s">
        <v>167</v>
      </c>
    </row>
    <row r="15" spans="1:12" s="46" customFormat="1" ht="18" x14ac:dyDescent="0.25">
      <c r="A15" s="43">
        <v>10</v>
      </c>
      <c r="B15" s="44" t="s">
        <v>19</v>
      </c>
      <c r="C15" s="49" t="s">
        <v>146</v>
      </c>
      <c r="D15" s="49" t="s">
        <v>145</v>
      </c>
      <c r="E15" s="49">
        <v>1</v>
      </c>
      <c r="F15" s="66">
        <v>1000</v>
      </c>
      <c r="G15" s="44"/>
      <c r="H15" s="44"/>
      <c r="I15" s="44"/>
      <c r="J15" s="44"/>
      <c r="K15" s="57" t="s">
        <v>164</v>
      </c>
      <c r="L15" s="57" t="s">
        <v>167</v>
      </c>
    </row>
    <row r="16" spans="1:12" s="46" customFormat="1" ht="18" x14ac:dyDescent="0.25">
      <c r="A16" s="43">
        <v>11</v>
      </c>
      <c r="B16" s="44" t="s">
        <v>21</v>
      </c>
      <c r="C16" s="44"/>
      <c r="D16" s="44"/>
      <c r="E16" s="44"/>
      <c r="F16" s="66">
        <v>0</v>
      </c>
      <c r="G16" s="44"/>
      <c r="H16" s="44"/>
      <c r="I16" s="44"/>
      <c r="J16" s="44"/>
      <c r="K16" s="57" t="s">
        <v>169</v>
      </c>
      <c r="L16" s="57" t="s">
        <v>168</v>
      </c>
    </row>
    <row r="17" spans="1:12" s="46" customFormat="1" ht="18" x14ac:dyDescent="0.25">
      <c r="A17" s="43">
        <v>12</v>
      </c>
      <c r="B17" s="44" t="s">
        <v>22</v>
      </c>
      <c r="C17" s="44"/>
      <c r="D17" s="44"/>
      <c r="E17" s="44"/>
      <c r="F17" s="66">
        <v>0</v>
      </c>
      <c r="G17" s="44"/>
      <c r="H17" s="44"/>
      <c r="I17" s="44"/>
      <c r="J17" s="44"/>
      <c r="K17" s="57" t="s">
        <v>169</v>
      </c>
      <c r="L17" s="57" t="s">
        <v>168</v>
      </c>
    </row>
    <row r="18" spans="1:12" s="46" customFormat="1" ht="18" x14ac:dyDescent="0.25">
      <c r="A18" s="43">
        <v>13</v>
      </c>
      <c r="B18" s="44" t="s">
        <v>23</v>
      </c>
      <c r="C18" s="44"/>
      <c r="D18" s="44"/>
      <c r="E18" s="44"/>
      <c r="F18" s="66">
        <v>0</v>
      </c>
      <c r="G18" s="44"/>
      <c r="H18" s="44"/>
      <c r="I18" s="44"/>
      <c r="J18" s="44"/>
      <c r="K18" s="57" t="s">
        <v>169</v>
      </c>
      <c r="L18" s="57" t="s">
        <v>167</v>
      </c>
    </row>
    <row r="19" spans="1:12" s="46" customFormat="1" ht="31.5" x14ac:dyDescent="0.25">
      <c r="A19" s="43">
        <v>14</v>
      </c>
      <c r="B19" s="44" t="s">
        <v>24</v>
      </c>
      <c r="C19" s="44"/>
      <c r="D19" s="44"/>
      <c r="E19" s="44"/>
      <c r="F19" s="66">
        <v>0</v>
      </c>
      <c r="G19" s="44"/>
      <c r="H19" s="44"/>
      <c r="I19" s="44"/>
      <c r="J19" s="44"/>
      <c r="K19" s="57" t="s">
        <v>169</v>
      </c>
      <c r="L19" s="57" t="s">
        <v>168</v>
      </c>
    </row>
    <row r="20" spans="1:12" s="46" customFormat="1" ht="18" x14ac:dyDescent="0.25">
      <c r="A20" s="43">
        <v>15</v>
      </c>
      <c r="B20" s="44" t="s">
        <v>25</v>
      </c>
      <c r="C20" s="44"/>
      <c r="D20" s="44"/>
      <c r="E20" s="44"/>
      <c r="F20" s="66">
        <v>0</v>
      </c>
      <c r="G20" s="44"/>
      <c r="H20" s="44"/>
      <c r="I20" s="44"/>
      <c r="J20" s="44"/>
      <c r="K20" s="57" t="s">
        <v>169</v>
      </c>
      <c r="L20" s="64" t="s">
        <v>167</v>
      </c>
    </row>
    <row r="21" spans="1:12" s="46" customFormat="1" ht="63" customHeight="1" x14ac:dyDescent="0.25">
      <c r="A21" s="47">
        <v>16</v>
      </c>
      <c r="B21" s="48" t="s">
        <v>115</v>
      </c>
      <c r="C21" s="45" t="s">
        <v>10</v>
      </c>
      <c r="D21" s="45" t="s">
        <v>116</v>
      </c>
      <c r="E21" s="45">
        <v>162</v>
      </c>
      <c r="F21" s="67">
        <v>500</v>
      </c>
      <c r="G21" s="44"/>
      <c r="H21" s="44"/>
      <c r="I21" s="44"/>
      <c r="J21" s="44"/>
      <c r="K21" s="57" t="s">
        <v>165</v>
      </c>
      <c r="L21" s="57" t="s">
        <v>168</v>
      </c>
    </row>
    <row r="22" spans="1:12" s="46" customFormat="1" ht="18" x14ac:dyDescent="0.25">
      <c r="A22" s="43">
        <v>17</v>
      </c>
      <c r="B22" s="44" t="s">
        <v>26</v>
      </c>
      <c r="C22" s="44"/>
      <c r="D22" s="44"/>
      <c r="E22" s="44"/>
      <c r="F22" s="66">
        <v>0</v>
      </c>
      <c r="G22" s="44"/>
      <c r="H22" s="44"/>
      <c r="I22" s="44"/>
      <c r="J22" s="44"/>
      <c r="K22" s="57" t="s">
        <v>169</v>
      </c>
      <c r="L22" s="65" t="s">
        <v>167</v>
      </c>
    </row>
    <row r="23" spans="1:12" s="46" customFormat="1" ht="18" x14ac:dyDescent="0.25">
      <c r="A23" s="43">
        <v>18</v>
      </c>
      <c r="B23" s="44" t="s">
        <v>27</v>
      </c>
      <c r="C23" s="45" t="s">
        <v>124</v>
      </c>
      <c r="D23" s="49">
        <v>80</v>
      </c>
      <c r="E23" s="45">
        <v>30</v>
      </c>
      <c r="F23" s="66">
        <f>D23*E23</f>
        <v>2400</v>
      </c>
      <c r="G23" s="44"/>
      <c r="H23" s="44"/>
      <c r="I23" s="44"/>
      <c r="J23" s="44"/>
      <c r="K23" s="64" t="s">
        <v>165</v>
      </c>
      <c r="L23" s="57" t="s">
        <v>168</v>
      </c>
    </row>
    <row r="24" spans="1:12" s="46" customFormat="1" ht="18" x14ac:dyDescent="0.25">
      <c r="A24" s="50">
        <v>19</v>
      </c>
      <c r="B24" s="51" t="s">
        <v>38</v>
      </c>
      <c r="C24" s="51"/>
      <c r="D24" s="51"/>
      <c r="E24" s="51"/>
      <c r="F24" s="66">
        <v>0</v>
      </c>
      <c r="G24" s="51"/>
      <c r="H24" s="51"/>
      <c r="I24" s="51"/>
      <c r="J24" s="51"/>
      <c r="K24" s="57" t="s">
        <v>169</v>
      </c>
      <c r="L24" s="57" t="s">
        <v>167</v>
      </c>
    </row>
    <row r="25" spans="1:12" s="46" customFormat="1" ht="18" x14ac:dyDescent="0.25">
      <c r="A25" s="52">
        <v>20</v>
      </c>
      <c r="B25" s="53" t="s">
        <v>149</v>
      </c>
      <c r="C25" s="54" t="s">
        <v>12</v>
      </c>
      <c r="D25" s="54">
        <v>50</v>
      </c>
      <c r="E25" s="54">
        <v>8</v>
      </c>
      <c r="F25" s="68">
        <v>400</v>
      </c>
      <c r="G25" s="53"/>
      <c r="H25" s="53"/>
      <c r="I25" s="53"/>
      <c r="J25" s="53"/>
      <c r="K25" s="65" t="s">
        <v>164</v>
      </c>
      <c r="L25" s="57" t="s">
        <v>167</v>
      </c>
    </row>
    <row r="26" spans="1:12" s="46" customFormat="1" ht="18" x14ac:dyDescent="0.25">
      <c r="A26" s="52">
        <v>21</v>
      </c>
      <c r="B26" s="53" t="s">
        <v>28</v>
      </c>
      <c r="C26" s="53"/>
      <c r="D26" s="53"/>
      <c r="E26" s="53"/>
      <c r="F26" s="66">
        <v>0</v>
      </c>
      <c r="G26" s="53"/>
      <c r="H26" s="53"/>
      <c r="I26" s="53"/>
      <c r="J26" s="53"/>
      <c r="K26" s="57" t="s">
        <v>169</v>
      </c>
      <c r="L26" s="57" t="s">
        <v>168</v>
      </c>
    </row>
    <row r="27" spans="1:12" s="46" customFormat="1" ht="18" x14ac:dyDescent="0.25">
      <c r="A27" s="52">
        <v>22</v>
      </c>
      <c r="B27" s="53" t="s">
        <v>39</v>
      </c>
      <c r="C27" s="53"/>
      <c r="D27" s="53"/>
      <c r="E27" s="53"/>
      <c r="F27" s="66">
        <v>0</v>
      </c>
      <c r="G27" s="53"/>
      <c r="H27" s="53"/>
      <c r="I27" s="53"/>
      <c r="J27" s="53"/>
      <c r="K27" s="57" t="s">
        <v>169</v>
      </c>
      <c r="L27" s="57" t="s">
        <v>168</v>
      </c>
    </row>
    <row r="28" spans="1:12" s="46" customFormat="1" ht="18" x14ac:dyDescent="0.25">
      <c r="A28" s="52">
        <v>23</v>
      </c>
      <c r="B28" s="53" t="s">
        <v>29</v>
      </c>
      <c r="C28" s="53"/>
      <c r="D28" s="53"/>
      <c r="E28" s="53"/>
      <c r="F28" s="66">
        <v>0</v>
      </c>
      <c r="G28" s="53"/>
      <c r="H28" s="53"/>
      <c r="I28" s="53"/>
      <c r="J28" s="53"/>
      <c r="K28" s="57" t="s">
        <v>169</v>
      </c>
      <c r="L28" s="57" t="s">
        <v>168</v>
      </c>
    </row>
    <row r="29" spans="1:12" s="46" customFormat="1" ht="18" x14ac:dyDescent="0.25">
      <c r="A29" s="52">
        <v>24</v>
      </c>
      <c r="B29" s="53" t="s">
        <v>40</v>
      </c>
      <c r="C29" s="53"/>
      <c r="D29" s="53"/>
      <c r="E29" s="53"/>
      <c r="F29" s="66">
        <v>0</v>
      </c>
      <c r="G29" s="53"/>
      <c r="H29" s="53"/>
      <c r="I29" s="53"/>
      <c r="J29" s="53"/>
      <c r="K29" s="57" t="s">
        <v>169</v>
      </c>
      <c r="L29" s="57" t="s">
        <v>167</v>
      </c>
    </row>
    <row r="30" spans="1:12" s="46" customFormat="1" ht="18" x14ac:dyDescent="0.25">
      <c r="A30" s="52">
        <v>25</v>
      </c>
      <c r="B30" s="53" t="s">
        <v>30</v>
      </c>
      <c r="C30" s="53"/>
      <c r="D30" s="53"/>
      <c r="E30" s="53"/>
      <c r="F30" s="66">
        <v>0</v>
      </c>
      <c r="G30" s="53"/>
      <c r="H30" s="53"/>
      <c r="I30" s="53"/>
      <c r="J30" s="53"/>
      <c r="K30" s="57" t="s">
        <v>169</v>
      </c>
      <c r="L30" s="65" t="s">
        <v>167</v>
      </c>
    </row>
    <row r="31" spans="1:12" s="46" customFormat="1" ht="18" x14ac:dyDescent="0.25">
      <c r="A31" s="52">
        <v>26</v>
      </c>
      <c r="B31" s="53" t="s">
        <v>31</v>
      </c>
      <c r="C31" s="54" t="s">
        <v>10</v>
      </c>
      <c r="D31" s="54">
        <v>34.799999999999997</v>
      </c>
      <c r="E31" s="54">
        <v>8</v>
      </c>
      <c r="F31" s="66">
        <v>0</v>
      </c>
      <c r="G31" s="53"/>
      <c r="H31" s="53"/>
      <c r="I31" s="53"/>
      <c r="J31" s="53"/>
      <c r="K31" s="57" t="s">
        <v>169</v>
      </c>
      <c r="L31" s="65" t="s">
        <v>168</v>
      </c>
    </row>
    <row r="32" spans="1:12" s="46" customFormat="1" ht="31.5" x14ac:dyDescent="0.25">
      <c r="A32" s="52">
        <v>27</v>
      </c>
      <c r="B32" s="53" t="s">
        <v>32</v>
      </c>
      <c r="C32" s="54" t="s">
        <v>12</v>
      </c>
      <c r="D32" s="53"/>
      <c r="E32" s="54">
        <v>37</v>
      </c>
      <c r="F32" s="66">
        <v>0</v>
      </c>
      <c r="G32" s="53"/>
      <c r="H32" s="53"/>
      <c r="I32" s="53"/>
      <c r="J32" s="53"/>
      <c r="K32" s="57" t="s">
        <v>169</v>
      </c>
      <c r="L32" s="65" t="s">
        <v>168</v>
      </c>
    </row>
    <row r="33" spans="1:12" s="46" customFormat="1" ht="31.5" x14ac:dyDescent="0.25">
      <c r="A33" s="52">
        <v>28</v>
      </c>
      <c r="B33" s="53" t="s">
        <v>126</v>
      </c>
      <c r="C33" s="54" t="s">
        <v>12</v>
      </c>
      <c r="D33" s="54">
        <v>560</v>
      </c>
      <c r="E33" s="54">
        <v>19</v>
      </c>
      <c r="F33" s="68">
        <f>D33*E33</f>
        <v>10640</v>
      </c>
      <c r="G33" s="53"/>
      <c r="H33" s="53"/>
      <c r="I33" s="53"/>
      <c r="J33" s="53"/>
      <c r="K33" s="65" t="s">
        <v>165</v>
      </c>
      <c r="L33" s="65" t="s">
        <v>167</v>
      </c>
    </row>
    <row r="34" spans="1:12" s="46" customFormat="1" ht="18" x14ac:dyDescent="0.25">
      <c r="A34" s="52">
        <v>29</v>
      </c>
      <c r="B34" s="53" t="s">
        <v>127</v>
      </c>
      <c r="C34" s="54" t="s">
        <v>12</v>
      </c>
      <c r="D34" s="54">
        <v>343</v>
      </c>
      <c r="E34" s="54">
        <v>18</v>
      </c>
      <c r="F34" s="68">
        <f>D34*E34</f>
        <v>6174</v>
      </c>
      <c r="G34" s="53"/>
      <c r="H34" s="53"/>
      <c r="I34" s="53"/>
      <c r="J34" s="53"/>
      <c r="K34" s="65" t="s">
        <v>165</v>
      </c>
      <c r="L34" s="57" t="s">
        <v>167</v>
      </c>
    </row>
    <row r="35" spans="1:12" s="46" customFormat="1" ht="18" x14ac:dyDescent="0.25">
      <c r="A35" s="52">
        <v>30</v>
      </c>
      <c r="B35" s="53" t="s">
        <v>128</v>
      </c>
      <c r="C35" s="54" t="s">
        <v>54</v>
      </c>
      <c r="D35" s="54">
        <v>20.7</v>
      </c>
      <c r="E35" s="54">
        <v>150</v>
      </c>
      <c r="F35" s="68">
        <f>D35*E35</f>
        <v>3105</v>
      </c>
      <c r="G35" s="53"/>
      <c r="H35" s="53"/>
      <c r="I35" s="53"/>
      <c r="J35" s="53"/>
      <c r="K35" s="65" t="s">
        <v>165</v>
      </c>
      <c r="L35" s="57" t="s">
        <v>167</v>
      </c>
    </row>
    <row r="36" spans="1:12" s="46" customFormat="1" ht="31.5" x14ac:dyDescent="0.25">
      <c r="A36" s="52">
        <v>31</v>
      </c>
      <c r="B36" s="53" t="s">
        <v>140</v>
      </c>
      <c r="C36" s="54" t="s">
        <v>10</v>
      </c>
      <c r="D36" s="54">
        <v>40</v>
      </c>
      <c r="E36" s="54">
        <v>165</v>
      </c>
      <c r="F36" s="68">
        <f>D36*E36</f>
        <v>6600</v>
      </c>
      <c r="G36" s="53"/>
      <c r="H36" s="53"/>
      <c r="I36" s="53"/>
      <c r="J36" s="53"/>
      <c r="K36" s="65" t="s">
        <v>164</v>
      </c>
      <c r="L36" s="57" t="s">
        <v>168</v>
      </c>
    </row>
    <row r="37" spans="1:12" s="46" customFormat="1" ht="18" x14ac:dyDescent="0.25">
      <c r="A37" s="52">
        <v>32</v>
      </c>
      <c r="B37" s="53" t="s">
        <v>33</v>
      </c>
      <c r="C37" s="53"/>
      <c r="D37" s="53"/>
      <c r="E37" s="53"/>
      <c r="F37" s="66">
        <v>0</v>
      </c>
      <c r="G37" s="53"/>
      <c r="H37" s="53"/>
      <c r="I37" s="53"/>
      <c r="J37" s="53"/>
      <c r="K37" s="57" t="s">
        <v>169</v>
      </c>
      <c r="L37" s="57" t="s">
        <v>168</v>
      </c>
    </row>
    <row r="38" spans="1:12" s="46" customFormat="1" ht="18" x14ac:dyDescent="0.25">
      <c r="A38" s="52">
        <v>33</v>
      </c>
      <c r="B38" s="53" t="s">
        <v>34</v>
      </c>
      <c r="C38" s="53"/>
      <c r="D38" s="53"/>
      <c r="E38" s="53"/>
      <c r="F38" s="66">
        <v>0</v>
      </c>
      <c r="G38" s="53"/>
      <c r="H38" s="53"/>
      <c r="I38" s="53"/>
      <c r="J38" s="53"/>
      <c r="K38" s="57" t="s">
        <v>169</v>
      </c>
      <c r="L38" s="57" t="s">
        <v>168</v>
      </c>
    </row>
    <row r="39" spans="1:12" s="46" customFormat="1" ht="18" x14ac:dyDescent="0.25">
      <c r="A39" s="52">
        <v>34</v>
      </c>
      <c r="B39" s="53" t="s">
        <v>35</v>
      </c>
      <c r="C39" s="53"/>
      <c r="D39" s="53"/>
      <c r="E39" s="53"/>
      <c r="F39" s="66">
        <v>0</v>
      </c>
      <c r="G39" s="53"/>
      <c r="H39" s="53"/>
      <c r="I39" s="53"/>
      <c r="J39" s="53"/>
      <c r="K39" s="57" t="s">
        <v>169</v>
      </c>
      <c r="L39" s="65" t="s">
        <v>167</v>
      </c>
    </row>
    <row r="40" spans="1:12" s="46" customFormat="1" ht="18" x14ac:dyDescent="0.25">
      <c r="A40" s="52">
        <v>35</v>
      </c>
      <c r="B40" s="53" t="s">
        <v>36</v>
      </c>
      <c r="C40" s="53"/>
      <c r="D40" s="53"/>
      <c r="E40" s="53"/>
      <c r="F40" s="66">
        <v>0</v>
      </c>
      <c r="G40" s="53"/>
      <c r="H40" s="53"/>
      <c r="I40" s="53"/>
      <c r="J40" s="53"/>
      <c r="K40" s="57" t="s">
        <v>169</v>
      </c>
      <c r="L40" s="57" t="s">
        <v>167</v>
      </c>
    </row>
    <row r="41" spans="1:12" s="46" customFormat="1" ht="18" x14ac:dyDescent="0.25">
      <c r="A41" s="52">
        <v>36</v>
      </c>
      <c r="B41" s="53" t="s">
        <v>37</v>
      </c>
      <c r="C41" s="53"/>
      <c r="D41" s="53"/>
      <c r="E41" s="53"/>
      <c r="F41" s="66">
        <v>0</v>
      </c>
      <c r="G41" s="53"/>
      <c r="H41" s="53"/>
      <c r="I41" s="53"/>
      <c r="J41" s="53"/>
      <c r="K41" s="57" t="s">
        <v>169</v>
      </c>
      <c r="L41" s="57" t="s">
        <v>167</v>
      </c>
    </row>
    <row r="42" spans="1:12" s="46" customFormat="1" ht="18" x14ac:dyDescent="0.25">
      <c r="A42" s="52">
        <v>37</v>
      </c>
      <c r="B42" s="53" t="s">
        <v>154</v>
      </c>
      <c r="C42" s="54" t="s">
        <v>10</v>
      </c>
      <c r="D42" s="55">
        <v>300.75187970000002</v>
      </c>
      <c r="E42" s="54">
        <v>2.66</v>
      </c>
      <c r="F42" s="68">
        <f>D42*E42</f>
        <v>800.00000000200009</v>
      </c>
      <c r="G42" s="53"/>
      <c r="H42" s="53"/>
      <c r="I42" s="53"/>
      <c r="J42" s="53"/>
      <c r="K42" s="65" t="s">
        <v>164</v>
      </c>
      <c r="L42" s="57" t="s">
        <v>167</v>
      </c>
    </row>
    <row r="43" spans="1:12" s="46" customFormat="1" ht="31.5" x14ac:dyDescent="0.25">
      <c r="A43" s="73">
        <v>38</v>
      </c>
      <c r="B43" s="65" t="s">
        <v>156</v>
      </c>
      <c r="C43" s="58" t="s">
        <v>10</v>
      </c>
      <c r="D43" s="74"/>
      <c r="E43" s="74" t="s">
        <v>162</v>
      </c>
      <c r="F43" s="66" t="s">
        <v>170</v>
      </c>
      <c r="G43" s="65"/>
      <c r="H43" s="65"/>
      <c r="I43" s="65"/>
      <c r="J43" s="65"/>
      <c r="K43" s="57" t="s">
        <v>164</v>
      </c>
      <c r="L43" s="57" t="s">
        <v>167</v>
      </c>
    </row>
    <row r="44" spans="1:12" ht="35.25" customHeight="1" x14ac:dyDescent="0.2">
      <c r="F44" s="59">
        <f>SUM(F6:F43)</f>
        <v>31619.000000002001</v>
      </c>
      <c r="K44" s="60"/>
    </row>
    <row r="46" spans="1:12" ht="18.75" x14ac:dyDescent="0.3">
      <c r="E46" s="146" t="s">
        <v>166</v>
      </c>
      <c r="F46" s="146"/>
    </row>
    <row r="47" spans="1:12" ht="20.25" x14ac:dyDescent="0.2">
      <c r="E47" s="72" t="s">
        <v>167</v>
      </c>
      <c r="F47" s="71">
        <v>22119</v>
      </c>
      <c r="G47" s="69"/>
      <c r="H47" s="69"/>
      <c r="I47" s="69"/>
    </row>
    <row r="48" spans="1:12" ht="20.25" x14ac:dyDescent="0.2">
      <c r="E48" s="72" t="s">
        <v>168</v>
      </c>
      <c r="F48" s="71">
        <v>9500</v>
      </c>
      <c r="G48" s="69"/>
      <c r="H48" s="69"/>
      <c r="I48" s="69"/>
    </row>
    <row r="49" spans="5:9" ht="20.25" x14ac:dyDescent="0.2">
      <c r="E49" s="72"/>
      <c r="F49" s="71"/>
      <c r="G49" s="69"/>
      <c r="H49" s="69"/>
      <c r="I49" s="69"/>
    </row>
    <row r="50" spans="5:9" ht="18.75" x14ac:dyDescent="0.3">
      <c r="E50" s="146" t="s">
        <v>163</v>
      </c>
      <c r="F50" s="146"/>
      <c r="G50" s="69"/>
      <c r="H50" s="69"/>
      <c r="I50" s="69"/>
    </row>
    <row r="51" spans="5:9" ht="20.25" x14ac:dyDescent="0.2">
      <c r="E51" s="72" t="s">
        <v>165</v>
      </c>
      <c r="F51" s="72">
        <v>22819</v>
      </c>
      <c r="G51" s="69"/>
      <c r="H51" s="69"/>
      <c r="I51" s="69"/>
    </row>
    <row r="52" spans="5:9" ht="20.25" x14ac:dyDescent="0.2">
      <c r="E52" s="72" t="s">
        <v>164</v>
      </c>
      <c r="F52" s="72">
        <v>8800</v>
      </c>
      <c r="G52" s="69"/>
      <c r="H52" s="69"/>
      <c r="I52" s="69"/>
    </row>
    <row r="53" spans="5:9" ht="20.25" x14ac:dyDescent="0.2">
      <c r="E53" s="70"/>
      <c r="F53" s="70"/>
      <c r="G53" s="69"/>
      <c r="H53" s="69"/>
      <c r="I53" s="69"/>
    </row>
    <row r="54" spans="5:9" ht="20.25" x14ac:dyDescent="0.2">
      <c r="E54" s="70"/>
      <c r="F54" s="70"/>
      <c r="G54" s="69"/>
      <c r="H54" s="69"/>
      <c r="I54" s="69"/>
    </row>
    <row r="55" spans="5:9" ht="20.25" x14ac:dyDescent="0.2">
      <c r="E55" s="70"/>
      <c r="F55" s="70"/>
    </row>
    <row r="56" spans="5:9" ht="20.25" x14ac:dyDescent="0.2">
      <c r="E56" s="70"/>
      <c r="F56" s="70"/>
    </row>
    <row r="1048576" spans="6:6" ht="15.75" x14ac:dyDescent="0.25">
      <c r="F1048576" s="44"/>
    </row>
  </sheetData>
  <autoFilter ref="A4:L44" xr:uid="{00000000-0001-0000-0800-000000000000}"/>
  <mergeCells count="9">
    <mergeCell ref="E46:F46"/>
    <mergeCell ref="E50:F50"/>
    <mergeCell ref="G3:H3"/>
    <mergeCell ref="I3:J3"/>
    <mergeCell ref="A3:A4"/>
    <mergeCell ref="B3:B4"/>
    <mergeCell ref="C3:C4"/>
    <mergeCell ref="D3:D4"/>
    <mergeCell ref="E3:F3"/>
  </mergeCells>
  <pageMargins left="0.7" right="0.7" top="0.75" bottom="0.75" header="0.3" footer="0.3"/>
  <pageSetup paperSize="9" orientation="portrait" horizontalDpi="4294967295" verticalDpi="4294967295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70768-F137-48F0-A208-8E5F9A4AE249}">
  <dimension ref="A3:M77"/>
  <sheetViews>
    <sheetView showGridLines="0" topLeftCell="A32" workbookViewId="0">
      <selection activeCell="A37" sqref="A37:XFD37"/>
    </sheetView>
  </sheetViews>
  <sheetFormatPr defaultRowHeight="12.75" x14ac:dyDescent="0.2"/>
  <cols>
    <col min="1" max="1" width="7.83203125" customWidth="1"/>
    <col min="2" max="2" width="34.33203125" customWidth="1"/>
    <col min="3" max="3" width="10.83203125" customWidth="1"/>
    <col min="4" max="4" width="21.5" customWidth="1"/>
    <col min="5" max="5" width="13.33203125" customWidth="1"/>
    <col min="6" max="6" width="21.33203125" customWidth="1"/>
    <col min="7" max="7" width="13.33203125" customWidth="1"/>
    <col min="8" max="8" width="21.5" customWidth="1"/>
    <col min="9" max="9" width="20.83203125" customWidth="1"/>
    <col min="10" max="10" width="16.1640625" bestFit="1" customWidth="1"/>
    <col min="11" max="11" width="33.1640625" bestFit="1" customWidth="1"/>
  </cols>
  <sheetData>
    <row r="3" spans="1:11" ht="16.5" customHeight="1" x14ac:dyDescent="0.2">
      <c r="A3" s="149" t="s">
        <v>0</v>
      </c>
      <c r="B3" s="147" t="s">
        <v>41</v>
      </c>
      <c r="C3" s="150" t="s">
        <v>2</v>
      </c>
      <c r="D3" s="147" t="s">
        <v>3</v>
      </c>
      <c r="E3" s="151" t="s">
        <v>7</v>
      </c>
      <c r="F3" s="151"/>
      <c r="G3" s="147" t="s">
        <v>8</v>
      </c>
      <c r="H3" s="147"/>
    </row>
    <row r="4" spans="1:11" ht="16.5" customHeight="1" x14ac:dyDescent="0.25">
      <c r="A4" s="149"/>
      <c r="B4" s="147"/>
      <c r="C4" s="150"/>
      <c r="D4" s="147"/>
      <c r="E4" s="79" t="s">
        <v>5</v>
      </c>
      <c r="F4" s="79" t="s">
        <v>6</v>
      </c>
      <c r="G4" s="79" t="s">
        <v>5</v>
      </c>
      <c r="H4" s="79" t="s">
        <v>6</v>
      </c>
      <c r="I4" s="104" t="s">
        <v>163</v>
      </c>
      <c r="J4" s="83" t="s">
        <v>166</v>
      </c>
      <c r="K4" s="83" t="s">
        <v>172</v>
      </c>
    </row>
    <row r="5" spans="1:11" ht="16.5" customHeight="1" x14ac:dyDescent="0.2">
      <c r="A5" s="105"/>
      <c r="B5" s="106">
        <v>2</v>
      </c>
      <c r="C5" s="106">
        <v>3</v>
      </c>
      <c r="D5" s="106">
        <v>4</v>
      </c>
      <c r="E5" s="106">
        <v>5</v>
      </c>
      <c r="F5" s="106">
        <v>6</v>
      </c>
      <c r="G5" s="106">
        <v>7</v>
      </c>
      <c r="H5" s="106">
        <v>8</v>
      </c>
      <c r="I5" s="86"/>
      <c r="J5" s="86"/>
      <c r="K5" s="86"/>
    </row>
    <row r="6" spans="1:11" ht="15" x14ac:dyDescent="0.2">
      <c r="A6" s="85">
        <v>1</v>
      </c>
      <c r="B6" s="84" t="s">
        <v>48</v>
      </c>
      <c r="C6" s="87" t="s">
        <v>44</v>
      </c>
      <c r="D6" s="88">
        <v>17.5</v>
      </c>
      <c r="E6" s="89">
        <v>12</v>
      </c>
      <c r="F6" s="89">
        <f t="shared" ref="F6:F16" si="0">D6*E6</f>
        <v>210</v>
      </c>
      <c r="G6" s="84"/>
      <c r="H6" s="84"/>
      <c r="I6" s="90" t="s">
        <v>165</v>
      </c>
      <c r="J6" s="90" t="s">
        <v>168</v>
      </c>
      <c r="K6" s="86"/>
    </row>
    <row r="7" spans="1:11" ht="15" x14ac:dyDescent="0.2">
      <c r="A7" s="91">
        <v>2</v>
      </c>
      <c r="B7" s="84" t="s">
        <v>42</v>
      </c>
      <c r="C7" s="87" t="s">
        <v>43</v>
      </c>
      <c r="D7" s="87">
        <v>26</v>
      </c>
      <c r="E7" s="89">
        <v>1</v>
      </c>
      <c r="F7" s="89">
        <f t="shared" si="0"/>
        <v>26</v>
      </c>
      <c r="G7" s="84"/>
      <c r="H7" s="84"/>
      <c r="I7" s="90" t="s">
        <v>165</v>
      </c>
      <c r="J7" s="90" t="s">
        <v>168</v>
      </c>
      <c r="K7" s="86"/>
    </row>
    <row r="8" spans="1:11" ht="15" x14ac:dyDescent="0.2">
      <c r="A8" s="85">
        <v>3</v>
      </c>
      <c r="B8" s="84" t="s">
        <v>45</v>
      </c>
      <c r="C8" s="87" t="s">
        <v>43</v>
      </c>
      <c r="D8" s="87">
        <v>32</v>
      </c>
      <c r="E8" s="89">
        <v>1</v>
      </c>
      <c r="F8" s="89">
        <f t="shared" si="0"/>
        <v>32</v>
      </c>
      <c r="G8" s="84"/>
      <c r="H8" s="84"/>
      <c r="I8" s="90" t="s">
        <v>165</v>
      </c>
      <c r="J8" s="90" t="s">
        <v>168</v>
      </c>
      <c r="K8" s="86"/>
    </row>
    <row r="9" spans="1:11" ht="16.5" customHeight="1" x14ac:dyDescent="0.2">
      <c r="A9" s="85">
        <v>4</v>
      </c>
      <c r="B9" s="84" t="s">
        <v>46</v>
      </c>
      <c r="C9" s="87" t="s">
        <v>47</v>
      </c>
      <c r="D9" s="89">
        <v>15</v>
      </c>
      <c r="E9" s="89">
        <v>40</v>
      </c>
      <c r="F9" s="89">
        <f t="shared" si="0"/>
        <v>600</v>
      </c>
      <c r="G9" s="84"/>
      <c r="H9" s="84"/>
      <c r="I9" s="90" t="s">
        <v>165</v>
      </c>
      <c r="J9" s="90" t="s">
        <v>168</v>
      </c>
      <c r="K9" s="86"/>
    </row>
    <row r="10" spans="1:11" ht="25.5" x14ac:dyDescent="0.2">
      <c r="A10" s="85">
        <v>5</v>
      </c>
      <c r="B10" s="84" t="s">
        <v>49</v>
      </c>
      <c r="C10" s="87" t="s">
        <v>44</v>
      </c>
      <c r="D10" s="87">
        <v>4</v>
      </c>
      <c r="E10" s="87">
        <v>20</v>
      </c>
      <c r="F10" s="87">
        <f t="shared" si="0"/>
        <v>80</v>
      </c>
      <c r="G10" s="84"/>
      <c r="H10" s="84"/>
      <c r="I10" s="90" t="s">
        <v>165</v>
      </c>
      <c r="J10" s="90" t="s">
        <v>168</v>
      </c>
      <c r="K10" s="86"/>
    </row>
    <row r="11" spans="1:11" ht="15" x14ac:dyDescent="0.2">
      <c r="A11" s="91">
        <v>6</v>
      </c>
      <c r="B11" s="92" t="s">
        <v>93</v>
      </c>
      <c r="C11" s="87" t="s">
        <v>76</v>
      </c>
      <c r="D11" s="87">
        <v>18</v>
      </c>
      <c r="E11" s="87">
        <v>2</v>
      </c>
      <c r="F11" s="87">
        <f t="shared" si="0"/>
        <v>36</v>
      </c>
      <c r="G11" s="84"/>
      <c r="H11" s="84"/>
      <c r="I11" s="90" t="s">
        <v>165</v>
      </c>
      <c r="J11" s="90" t="s">
        <v>168</v>
      </c>
      <c r="K11" s="86"/>
    </row>
    <row r="12" spans="1:11" ht="15" x14ac:dyDescent="0.2">
      <c r="A12" s="85">
        <v>7</v>
      </c>
      <c r="B12" s="84" t="s">
        <v>50</v>
      </c>
      <c r="C12" s="87" t="s">
        <v>51</v>
      </c>
      <c r="D12" s="87">
        <v>2</v>
      </c>
      <c r="E12" s="87">
        <v>30</v>
      </c>
      <c r="F12" s="87">
        <f t="shared" si="0"/>
        <v>60</v>
      </c>
      <c r="G12" s="84"/>
      <c r="H12" s="84"/>
      <c r="I12" s="90" t="s">
        <v>165</v>
      </c>
      <c r="J12" s="90" t="s">
        <v>168</v>
      </c>
      <c r="K12" s="86"/>
    </row>
    <row r="13" spans="1:11" ht="25.5" x14ac:dyDescent="0.2">
      <c r="A13" s="85">
        <v>8</v>
      </c>
      <c r="B13" s="84" t="s">
        <v>110</v>
      </c>
      <c r="C13" s="87" t="s">
        <v>44</v>
      </c>
      <c r="D13" s="87">
        <v>15</v>
      </c>
      <c r="E13" s="87">
        <v>1</v>
      </c>
      <c r="F13" s="87">
        <f t="shared" si="0"/>
        <v>15</v>
      </c>
      <c r="G13" s="84"/>
      <c r="H13" s="84"/>
      <c r="I13" s="90" t="s">
        <v>165</v>
      </c>
      <c r="J13" s="90" t="s">
        <v>168</v>
      </c>
      <c r="K13" s="86"/>
    </row>
    <row r="14" spans="1:11" ht="15" x14ac:dyDescent="0.2">
      <c r="A14" s="85">
        <v>9</v>
      </c>
      <c r="B14" s="84" t="s">
        <v>52</v>
      </c>
      <c r="C14" s="87" t="s">
        <v>44</v>
      </c>
      <c r="D14" s="87">
        <v>5.5</v>
      </c>
      <c r="E14" s="87">
        <v>30</v>
      </c>
      <c r="F14" s="89">
        <f t="shared" si="0"/>
        <v>165</v>
      </c>
      <c r="G14" s="84"/>
      <c r="H14" s="84"/>
      <c r="I14" s="90" t="s">
        <v>165</v>
      </c>
      <c r="J14" s="90" t="s">
        <v>168</v>
      </c>
      <c r="K14" s="90" t="s">
        <v>171</v>
      </c>
    </row>
    <row r="15" spans="1:11" ht="15" x14ac:dyDescent="0.2">
      <c r="A15" s="91">
        <v>10</v>
      </c>
      <c r="B15" s="84" t="s">
        <v>53</v>
      </c>
      <c r="C15" s="87" t="s">
        <v>54</v>
      </c>
      <c r="D15" s="87">
        <v>9</v>
      </c>
      <c r="E15" s="87">
        <v>20</v>
      </c>
      <c r="F15" s="87">
        <f t="shared" si="0"/>
        <v>180</v>
      </c>
      <c r="G15" s="84"/>
      <c r="H15" s="84"/>
      <c r="I15" s="90" t="s">
        <v>165</v>
      </c>
      <c r="J15" s="90" t="s">
        <v>168</v>
      </c>
      <c r="K15" s="86"/>
    </row>
    <row r="16" spans="1:11" ht="25.5" x14ac:dyDescent="0.2">
      <c r="A16" s="85">
        <v>11</v>
      </c>
      <c r="B16" s="92" t="s">
        <v>92</v>
      </c>
      <c r="C16" s="87" t="s">
        <v>44</v>
      </c>
      <c r="D16" s="87">
        <v>75</v>
      </c>
      <c r="E16" s="87">
        <v>4</v>
      </c>
      <c r="F16" s="87">
        <f t="shared" si="0"/>
        <v>300</v>
      </c>
      <c r="G16" s="84"/>
      <c r="H16" s="84"/>
      <c r="I16" s="90" t="s">
        <v>165</v>
      </c>
      <c r="J16" s="90" t="s">
        <v>168</v>
      </c>
      <c r="K16" s="86"/>
    </row>
    <row r="17" spans="1:11" ht="25.5" x14ac:dyDescent="0.2">
      <c r="A17" s="85">
        <v>12</v>
      </c>
      <c r="B17" s="92" t="s">
        <v>94</v>
      </c>
      <c r="C17" s="87" t="s">
        <v>55</v>
      </c>
      <c r="D17" s="87"/>
      <c r="E17" s="87">
        <v>6</v>
      </c>
      <c r="F17" s="93" t="s">
        <v>155</v>
      </c>
      <c r="G17" s="84"/>
      <c r="H17" s="84"/>
      <c r="I17" s="86"/>
      <c r="J17" s="86"/>
      <c r="K17" s="86"/>
    </row>
    <row r="18" spans="1:11" ht="25.5" x14ac:dyDescent="0.2">
      <c r="A18" s="85">
        <v>13</v>
      </c>
      <c r="B18" s="84" t="s">
        <v>56</v>
      </c>
      <c r="C18" s="87" t="s">
        <v>44</v>
      </c>
      <c r="D18" s="87">
        <v>2.8</v>
      </c>
      <c r="E18" s="87">
        <v>100</v>
      </c>
      <c r="F18" s="87">
        <f t="shared" ref="F18:F23" si="1">D18*E18</f>
        <v>280</v>
      </c>
      <c r="G18" s="84"/>
      <c r="H18" s="84"/>
      <c r="I18" s="90" t="s">
        <v>165</v>
      </c>
      <c r="J18" s="90" t="s">
        <v>168</v>
      </c>
      <c r="K18" s="86"/>
    </row>
    <row r="19" spans="1:11" ht="25.5" x14ac:dyDescent="0.2">
      <c r="A19" s="91">
        <v>14</v>
      </c>
      <c r="B19" s="84" t="s">
        <v>57</v>
      </c>
      <c r="C19" s="87" t="s">
        <v>44</v>
      </c>
      <c r="D19" s="87">
        <v>2.8</v>
      </c>
      <c r="E19" s="87">
        <v>100</v>
      </c>
      <c r="F19" s="87">
        <f t="shared" si="1"/>
        <v>280</v>
      </c>
      <c r="G19" s="84"/>
      <c r="H19" s="84"/>
      <c r="I19" s="90" t="s">
        <v>165</v>
      </c>
      <c r="J19" s="90" t="s">
        <v>168</v>
      </c>
      <c r="K19" s="86"/>
    </row>
    <row r="20" spans="1:11" ht="25.5" x14ac:dyDescent="0.2">
      <c r="A20" s="85">
        <v>15</v>
      </c>
      <c r="B20" s="84" t="s">
        <v>58</v>
      </c>
      <c r="C20" s="87" t="s">
        <v>44</v>
      </c>
      <c r="D20" s="87">
        <v>2.8</v>
      </c>
      <c r="E20" s="87">
        <v>50</v>
      </c>
      <c r="F20" s="87">
        <f t="shared" si="1"/>
        <v>140</v>
      </c>
      <c r="G20" s="84"/>
      <c r="H20" s="84"/>
      <c r="I20" s="90" t="s">
        <v>165</v>
      </c>
      <c r="J20" s="90" t="s">
        <v>168</v>
      </c>
      <c r="K20" s="86"/>
    </row>
    <row r="21" spans="1:11" ht="25.5" x14ac:dyDescent="0.2">
      <c r="A21" s="85">
        <v>16</v>
      </c>
      <c r="B21" s="84" t="s">
        <v>59</v>
      </c>
      <c r="C21" s="87" t="s">
        <v>44</v>
      </c>
      <c r="D21" s="87">
        <v>2.8</v>
      </c>
      <c r="E21" s="87">
        <v>50</v>
      </c>
      <c r="F21" s="87">
        <f t="shared" si="1"/>
        <v>140</v>
      </c>
      <c r="G21" s="84"/>
      <c r="H21" s="84"/>
      <c r="I21" s="90" t="s">
        <v>165</v>
      </c>
      <c r="J21" s="90" t="s">
        <v>168</v>
      </c>
      <c r="K21" s="86"/>
    </row>
    <row r="22" spans="1:11" ht="15" x14ac:dyDescent="0.2">
      <c r="A22" s="85">
        <v>17</v>
      </c>
      <c r="B22" s="84" t="s">
        <v>60</v>
      </c>
      <c r="C22" s="87" t="s">
        <v>61</v>
      </c>
      <c r="D22" s="87">
        <v>18</v>
      </c>
      <c r="E22" s="87">
        <v>2</v>
      </c>
      <c r="F22" s="89">
        <f t="shared" si="1"/>
        <v>36</v>
      </c>
      <c r="G22" s="84"/>
      <c r="H22" s="84"/>
      <c r="I22" s="86"/>
      <c r="J22" s="86"/>
      <c r="K22" s="86"/>
    </row>
    <row r="23" spans="1:11" s="82" customFormat="1" ht="25.5" x14ac:dyDescent="0.2">
      <c r="A23" s="91">
        <v>18</v>
      </c>
      <c r="B23" s="94" t="s">
        <v>95</v>
      </c>
      <c r="C23" s="95" t="s">
        <v>44</v>
      </c>
      <c r="D23" s="95">
        <v>0.7</v>
      </c>
      <c r="E23" s="95">
        <v>100</v>
      </c>
      <c r="F23" s="95">
        <f t="shared" si="1"/>
        <v>70</v>
      </c>
      <c r="G23" s="96"/>
      <c r="H23" s="96"/>
      <c r="I23" s="90" t="s">
        <v>165</v>
      </c>
      <c r="J23" s="90" t="s">
        <v>168</v>
      </c>
      <c r="K23" s="97"/>
    </row>
    <row r="24" spans="1:11" s="82" customFormat="1" ht="25.5" x14ac:dyDescent="0.2">
      <c r="A24" s="85">
        <v>19</v>
      </c>
      <c r="B24" s="92" t="s">
        <v>62</v>
      </c>
      <c r="C24" s="95" t="s">
        <v>44</v>
      </c>
      <c r="D24" s="95">
        <v>29</v>
      </c>
      <c r="E24" s="95">
        <v>20</v>
      </c>
      <c r="F24" s="95">
        <f t="shared" ref="F24:F29" si="2">D24*E24</f>
        <v>580</v>
      </c>
      <c r="G24" s="96"/>
      <c r="H24" s="96"/>
      <c r="I24" s="90" t="s">
        <v>165</v>
      </c>
      <c r="J24" s="90" t="s">
        <v>168</v>
      </c>
      <c r="K24" s="97"/>
    </row>
    <row r="25" spans="1:11" s="82" customFormat="1" ht="16.149999999999999" customHeight="1" x14ac:dyDescent="0.2">
      <c r="A25" s="85">
        <v>20</v>
      </c>
      <c r="B25" s="92" t="s">
        <v>63</v>
      </c>
      <c r="C25" s="95" t="s">
        <v>44</v>
      </c>
      <c r="D25" s="95">
        <v>6</v>
      </c>
      <c r="E25" s="95">
        <v>10</v>
      </c>
      <c r="F25" s="98">
        <f t="shared" si="2"/>
        <v>60</v>
      </c>
      <c r="G25" s="96"/>
      <c r="H25" s="96"/>
      <c r="I25" s="90" t="s">
        <v>165</v>
      </c>
      <c r="J25" s="90" t="s">
        <v>168</v>
      </c>
      <c r="K25" s="97"/>
    </row>
    <row r="26" spans="1:11" s="82" customFormat="1" ht="15" x14ac:dyDescent="0.2">
      <c r="A26" s="85">
        <v>21</v>
      </c>
      <c r="B26" s="92" t="s">
        <v>64</v>
      </c>
      <c r="C26" s="95" t="s">
        <v>43</v>
      </c>
      <c r="D26" s="95">
        <v>3</v>
      </c>
      <c r="E26" s="95">
        <v>20</v>
      </c>
      <c r="F26" s="95">
        <f t="shared" si="2"/>
        <v>60</v>
      </c>
      <c r="G26" s="96"/>
      <c r="H26" s="96"/>
      <c r="I26" s="90" t="s">
        <v>165</v>
      </c>
      <c r="J26" s="90" t="s">
        <v>168</v>
      </c>
      <c r="K26" s="97"/>
    </row>
    <row r="27" spans="1:11" s="82" customFormat="1" ht="15" x14ac:dyDescent="0.2">
      <c r="A27" s="91">
        <v>22</v>
      </c>
      <c r="B27" s="92" t="s">
        <v>65</v>
      </c>
      <c r="C27" s="95" t="s">
        <v>44</v>
      </c>
      <c r="D27" s="95">
        <v>32</v>
      </c>
      <c r="E27" s="95">
        <v>2</v>
      </c>
      <c r="F27" s="99">
        <f>D27*E27</f>
        <v>64</v>
      </c>
      <c r="G27" s="96"/>
      <c r="H27" s="96"/>
      <c r="I27" s="90" t="s">
        <v>165</v>
      </c>
      <c r="J27" s="90" t="s">
        <v>168</v>
      </c>
      <c r="K27" s="97"/>
    </row>
    <row r="28" spans="1:11" s="82" customFormat="1" ht="25.5" x14ac:dyDescent="0.2">
      <c r="A28" s="85">
        <v>23</v>
      </c>
      <c r="B28" s="94" t="s">
        <v>66</v>
      </c>
      <c r="C28" s="95" t="s">
        <v>44</v>
      </c>
      <c r="D28" s="95">
        <v>12</v>
      </c>
      <c r="E28" s="95">
        <v>3</v>
      </c>
      <c r="F28" s="95">
        <f t="shared" si="2"/>
        <v>36</v>
      </c>
      <c r="G28" s="96"/>
      <c r="H28" s="96"/>
      <c r="I28" s="90" t="s">
        <v>165</v>
      </c>
      <c r="J28" s="90" t="s">
        <v>168</v>
      </c>
      <c r="K28" s="97"/>
    </row>
    <row r="29" spans="1:11" s="82" customFormat="1" ht="15" x14ac:dyDescent="0.2">
      <c r="A29" s="85">
        <v>24</v>
      </c>
      <c r="B29" s="92" t="s">
        <v>67</v>
      </c>
      <c r="C29" s="95" t="s">
        <v>44</v>
      </c>
      <c r="D29" s="95">
        <v>3</v>
      </c>
      <c r="E29" s="95">
        <v>10</v>
      </c>
      <c r="F29" s="98">
        <f t="shared" si="2"/>
        <v>30</v>
      </c>
      <c r="G29" s="96"/>
      <c r="H29" s="96"/>
      <c r="I29" s="90" t="s">
        <v>165</v>
      </c>
      <c r="J29" s="90" t="s">
        <v>168</v>
      </c>
      <c r="K29" s="97"/>
    </row>
    <row r="30" spans="1:11" s="82" customFormat="1" ht="15" x14ac:dyDescent="0.2">
      <c r="A30" s="85">
        <v>25</v>
      </c>
      <c r="B30" s="92" t="s">
        <v>68</v>
      </c>
      <c r="C30" s="95" t="s">
        <v>44</v>
      </c>
      <c r="D30" s="95">
        <v>12</v>
      </c>
      <c r="E30" s="95">
        <v>1</v>
      </c>
      <c r="F30" s="95">
        <v>12</v>
      </c>
      <c r="G30" s="96"/>
      <c r="H30" s="96"/>
      <c r="I30" s="90" t="s">
        <v>165</v>
      </c>
      <c r="J30" s="90" t="s">
        <v>168</v>
      </c>
      <c r="K30" s="97"/>
    </row>
    <row r="31" spans="1:11" ht="25.5" x14ac:dyDescent="0.2">
      <c r="A31" s="91">
        <v>26</v>
      </c>
      <c r="B31" s="84" t="s">
        <v>69</v>
      </c>
      <c r="C31" s="87" t="s">
        <v>44</v>
      </c>
      <c r="D31" s="87">
        <v>4</v>
      </c>
      <c r="E31" s="87">
        <v>2</v>
      </c>
      <c r="F31" s="87">
        <f t="shared" ref="F31:F36" si="3">D31*E31</f>
        <v>8</v>
      </c>
      <c r="G31" s="84"/>
      <c r="H31" s="84"/>
      <c r="I31" s="86"/>
      <c r="J31" s="86"/>
      <c r="K31" s="86"/>
    </row>
    <row r="32" spans="1:11" ht="15" x14ac:dyDescent="0.2">
      <c r="A32" s="85">
        <v>27</v>
      </c>
      <c r="B32" s="84" t="s">
        <v>70</v>
      </c>
      <c r="C32" s="87" t="s">
        <v>44</v>
      </c>
      <c r="D32" s="87">
        <v>6</v>
      </c>
      <c r="E32" s="87">
        <v>4</v>
      </c>
      <c r="F32" s="87">
        <f t="shared" si="3"/>
        <v>24</v>
      </c>
      <c r="G32" s="84"/>
      <c r="H32" s="84"/>
      <c r="I32" s="90" t="s">
        <v>165</v>
      </c>
      <c r="J32" s="90" t="s">
        <v>168</v>
      </c>
      <c r="K32" s="86"/>
    </row>
    <row r="33" spans="1:13" ht="25.5" x14ac:dyDescent="0.2">
      <c r="A33" s="85">
        <v>28</v>
      </c>
      <c r="B33" s="84" t="s">
        <v>153</v>
      </c>
      <c r="C33" s="87" t="s">
        <v>55</v>
      </c>
      <c r="D33" s="87">
        <v>60</v>
      </c>
      <c r="E33" s="87">
        <v>4</v>
      </c>
      <c r="F33" s="99">
        <f t="shared" si="3"/>
        <v>240</v>
      </c>
      <c r="G33" s="84"/>
      <c r="H33" s="84"/>
      <c r="I33" s="90" t="s">
        <v>165</v>
      </c>
      <c r="J33" s="90" t="s">
        <v>168</v>
      </c>
      <c r="K33" s="86"/>
    </row>
    <row r="34" spans="1:13" ht="25.5" x14ac:dyDescent="0.2">
      <c r="A34" s="85">
        <v>29</v>
      </c>
      <c r="B34" s="84" t="s">
        <v>71</v>
      </c>
      <c r="C34" s="87" t="s">
        <v>44</v>
      </c>
      <c r="D34" s="87">
        <v>4</v>
      </c>
      <c r="E34" s="87">
        <v>15</v>
      </c>
      <c r="F34" s="87">
        <f t="shared" si="3"/>
        <v>60</v>
      </c>
      <c r="G34" s="84"/>
      <c r="H34" s="84"/>
      <c r="I34" s="90" t="s">
        <v>165</v>
      </c>
      <c r="J34" s="90" t="s">
        <v>168</v>
      </c>
      <c r="K34" s="86"/>
    </row>
    <row r="35" spans="1:13" ht="25.5" x14ac:dyDescent="0.2">
      <c r="A35" s="91">
        <v>30</v>
      </c>
      <c r="B35" s="84" t="s">
        <v>72</v>
      </c>
      <c r="C35" s="87" t="s">
        <v>44</v>
      </c>
      <c r="D35" s="87">
        <v>8</v>
      </c>
      <c r="E35" s="87">
        <v>10</v>
      </c>
      <c r="F35" s="87">
        <f t="shared" si="3"/>
        <v>80</v>
      </c>
      <c r="G35" s="84"/>
      <c r="H35" s="84"/>
      <c r="I35" s="90" t="s">
        <v>165</v>
      </c>
      <c r="J35" s="90" t="s">
        <v>168</v>
      </c>
      <c r="K35" s="86"/>
    </row>
    <row r="36" spans="1:13" ht="25.5" x14ac:dyDescent="0.2">
      <c r="A36" s="85">
        <v>31</v>
      </c>
      <c r="B36" s="84" t="s">
        <v>73</v>
      </c>
      <c r="C36" s="87" t="s">
        <v>44</v>
      </c>
      <c r="D36" s="87">
        <v>40</v>
      </c>
      <c r="E36" s="87">
        <v>2</v>
      </c>
      <c r="F36" s="87">
        <f t="shared" si="3"/>
        <v>80</v>
      </c>
      <c r="G36" s="84"/>
      <c r="H36" s="84"/>
      <c r="I36" s="90" t="s">
        <v>165</v>
      </c>
      <c r="J36" s="90" t="s">
        <v>168</v>
      </c>
      <c r="K36" s="86"/>
    </row>
    <row r="37" spans="1:13" ht="15" x14ac:dyDescent="0.2">
      <c r="A37" s="85">
        <v>32</v>
      </c>
      <c r="B37" s="84" t="s">
        <v>74</v>
      </c>
      <c r="C37" s="87" t="s">
        <v>44</v>
      </c>
      <c r="D37" s="99">
        <v>75</v>
      </c>
      <c r="E37" s="99">
        <v>10</v>
      </c>
      <c r="F37" s="99">
        <f>D37*E37</f>
        <v>750</v>
      </c>
      <c r="G37" s="84"/>
      <c r="H37" s="84"/>
      <c r="I37" s="90" t="s">
        <v>165</v>
      </c>
      <c r="J37" s="90" t="s">
        <v>168</v>
      </c>
      <c r="K37" s="100"/>
      <c r="L37" s="10"/>
      <c r="M37" s="10"/>
    </row>
    <row r="38" spans="1:13" ht="15" x14ac:dyDescent="0.2">
      <c r="A38" s="85">
        <v>33</v>
      </c>
      <c r="B38" s="84" t="s">
        <v>75</v>
      </c>
      <c r="C38" s="89" t="s">
        <v>76</v>
      </c>
      <c r="D38" s="89">
        <v>35</v>
      </c>
      <c r="E38" s="89">
        <v>15</v>
      </c>
      <c r="F38" s="89">
        <f>D38*E38</f>
        <v>525</v>
      </c>
      <c r="G38" s="84"/>
      <c r="H38" s="84"/>
      <c r="I38" s="90" t="s">
        <v>165</v>
      </c>
      <c r="J38" s="90" t="s">
        <v>168</v>
      </c>
      <c r="K38" s="86"/>
    </row>
    <row r="39" spans="1:13" ht="15" x14ac:dyDescent="0.2">
      <c r="A39" s="91">
        <v>34</v>
      </c>
      <c r="B39" s="84" t="s">
        <v>78</v>
      </c>
      <c r="C39" s="87" t="s">
        <v>61</v>
      </c>
      <c r="D39" s="87">
        <v>81.400000000000006</v>
      </c>
      <c r="E39" s="87">
        <v>86</v>
      </c>
      <c r="F39" s="87">
        <f>D39*E39</f>
        <v>7000.4000000000005</v>
      </c>
      <c r="G39" s="84"/>
      <c r="H39" s="84"/>
      <c r="I39" s="90" t="s">
        <v>165</v>
      </c>
      <c r="J39" s="90" t="s">
        <v>168</v>
      </c>
      <c r="K39" s="86"/>
    </row>
    <row r="40" spans="1:13" ht="15" x14ac:dyDescent="0.2">
      <c r="A40" s="85">
        <v>35</v>
      </c>
      <c r="B40" s="84" t="s">
        <v>77</v>
      </c>
      <c r="C40" s="89" t="s">
        <v>76</v>
      </c>
      <c r="D40" s="89">
        <v>230</v>
      </c>
      <c r="E40" s="87">
        <v>2</v>
      </c>
      <c r="F40" s="87">
        <f>D40*E40</f>
        <v>460</v>
      </c>
      <c r="G40" s="84"/>
      <c r="H40" s="84"/>
      <c r="I40" s="90" t="s">
        <v>165</v>
      </c>
      <c r="J40" s="90" t="s">
        <v>168</v>
      </c>
      <c r="K40" s="86"/>
    </row>
    <row r="41" spans="1:13" ht="25.5" x14ac:dyDescent="0.2">
      <c r="A41" s="85">
        <v>36</v>
      </c>
      <c r="B41" s="92" t="s">
        <v>96</v>
      </c>
      <c r="C41" s="87" t="s">
        <v>44</v>
      </c>
      <c r="D41" s="87">
        <v>0.85</v>
      </c>
      <c r="E41" s="87">
        <v>50</v>
      </c>
      <c r="F41" s="87">
        <f t="shared" ref="F41" si="4">D41*E41</f>
        <v>42.5</v>
      </c>
      <c r="G41" s="84"/>
      <c r="H41" s="84"/>
      <c r="I41" s="90" t="s">
        <v>165</v>
      </c>
      <c r="J41" s="90" t="s">
        <v>168</v>
      </c>
      <c r="K41" s="86"/>
    </row>
    <row r="42" spans="1:13" ht="15" x14ac:dyDescent="0.2">
      <c r="A42" s="85">
        <v>37</v>
      </c>
      <c r="B42" s="92" t="s">
        <v>91</v>
      </c>
      <c r="C42" s="87" t="s">
        <v>43</v>
      </c>
      <c r="D42" s="87">
        <v>6</v>
      </c>
      <c r="E42" s="87">
        <v>24</v>
      </c>
      <c r="F42" s="87">
        <f>D42*E42</f>
        <v>144</v>
      </c>
      <c r="G42" s="84"/>
      <c r="H42" s="84"/>
      <c r="I42" s="90" t="s">
        <v>165</v>
      </c>
      <c r="J42" s="90" t="s">
        <v>168</v>
      </c>
      <c r="K42" s="86"/>
    </row>
    <row r="43" spans="1:13" ht="15" x14ac:dyDescent="0.2">
      <c r="A43" s="91">
        <v>38</v>
      </c>
      <c r="B43" s="92" t="s">
        <v>97</v>
      </c>
      <c r="C43" s="87" t="s">
        <v>43</v>
      </c>
      <c r="D43" s="87">
        <v>14</v>
      </c>
      <c r="E43" s="87">
        <v>24</v>
      </c>
      <c r="F43" s="101">
        <f>D43*E43</f>
        <v>336</v>
      </c>
      <c r="G43" s="102"/>
      <c r="H43" s="102"/>
      <c r="I43" s="90" t="s">
        <v>165</v>
      </c>
      <c r="J43" s="90" t="s">
        <v>168</v>
      </c>
      <c r="K43" s="90" t="s">
        <v>183</v>
      </c>
    </row>
    <row r="44" spans="1:13" ht="15" x14ac:dyDescent="0.2">
      <c r="A44" s="85">
        <v>39</v>
      </c>
      <c r="B44" s="92" t="s">
        <v>98</v>
      </c>
      <c r="C44" s="87" t="s">
        <v>43</v>
      </c>
      <c r="D44" s="87">
        <v>20</v>
      </c>
      <c r="E44" s="87">
        <v>20</v>
      </c>
      <c r="F44" s="101">
        <f>D44*E44</f>
        <v>400</v>
      </c>
      <c r="G44" s="102"/>
      <c r="H44" s="102"/>
      <c r="I44" s="90" t="s">
        <v>165</v>
      </c>
      <c r="J44" s="90" t="s">
        <v>168</v>
      </c>
      <c r="K44" s="90" t="s">
        <v>183</v>
      </c>
    </row>
    <row r="45" spans="1:13" ht="15" x14ac:dyDescent="0.2">
      <c r="A45" s="85">
        <v>40</v>
      </c>
      <c r="B45" s="92" t="s">
        <v>99</v>
      </c>
      <c r="C45" s="87" t="s">
        <v>44</v>
      </c>
      <c r="D45" s="87">
        <v>114</v>
      </c>
      <c r="E45" s="87">
        <v>10</v>
      </c>
      <c r="F45" s="101">
        <f>D45*E45</f>
        <v>1140</v>
      </c>
      <c r="G45" s="102"/>
      <c r="H45" s="102"/>
      <c r="I45" s="90" t="s">
        <v>164</v>
      </c>
      <c r="J45" s="86"/>
      <c r="K45" s="86"/>
    </row>
    <row r="46" spans="1:13" ht="25.5" x14ac:dyDescent="0.2">
      <c r="A46" s="85">
        <v>41</v>
      </c>
      <c r="B46" s="92" t="s">
        <v>100</v>
      </c>
      <c r="C46" s="87" t="s">
        <v>44</v>
      </c>
      <c r="D46" s="87">
        <v>59.5</v>
      </c>
      <c r="E46" s="87">
        <v>12</v>
      </c>
      <c r="F46" s="101">
        <f>D46*E46</f>
        <v>714</v>
      </c>
      <c r="G46" s="102"/>
      <c r="H46" s="102"/>
      <c r="I46" s="90" t="s">
        <v>165</v>
      </c>
      <c r="J46" s="86"/>
      <c r="K46" s="86"/>
    </row>
    <row r="47" spans="1:13" ht="15" x14ac:dyDescent="0.2">
      <c r="A47" s="85">
        <v>42</v>
      </c>
      <c r="B47" s="92" t="s">
        <v>105</v>
      </c>
      <c r="C47" s="87" t="s">
        <v>44</v>
      </c>
      <c r="D47" s="87">
        <v>35</v>
      </c>
      <c r="E47" s="87">
        <v>65</v>
      </c>
      <c r="F47" s="101">
        <f>E47*D47</f>
        <v>2275</v>
      </c>
      <c r="G47" s="102"/>
      <c r="H47" s="102"/>
      <c r="I47" s="90" t="s">
        <v>165</v>
      </c>
      <c r="J47" s="90" t="s">
        <v>168</v>
      </c>
      <c r="K47" s="86"/>
    </row>
    <row r="48" spans="1:13" ht="15" x14ac:dyDescent="0.2">
      <c r="A48" s="85">
        <v>43</v>
      </c>
      <c r="B48" s="92" t="s">
        <v>106</v>
      </c>
      <c r="C48" s="87" t="s">
        <v>44</v>
      </c>
      <c r="D48" s="87">
        <v>1</v>
      </c>
      <c r="E48" s="87">
        <v>3000</v>
      </c>
      <c r="F48" s="101">
        <f>E48*D48</f>
        <v>3000</v>
      </c>
      <c r="G48" s="102"/>
      <c r="H48" s="102"/>
      <c r="I48" s="90" t="s">
        <v>165</v>
      </c>
      <c r="J48" s="90" t="s">
        <v>168</v>
      </c>
      <c r="K48" s="86"/>
    </row>
    <row r="49" spans="1:11" ht="15" x14ac:dyDescent="0.2">
      <c r="A49" s="85">
        <v>44</v>
      </c>
      <c r="B49" s="103" t="s">
        <v>75</v>
      </c>
      <c r="C49" s="87" t="s">
        <v>76</v>
      </c>
      <c r="D49" s="87">
        <v>35</v>
      </c>
      <c r="E49" s="87">
        <v>5</v>
      </c>
      <c r="F49" s="88">
        <f>D49*E49</f>
        <v>175</v>
      </c>
      <c r="G49" s="102"/>
      <c r="H49" s="102"/>
      <c r="I49" s="90" t="s">
        <v>165</v>
      </c>
      <c r="J49" s="90" t="s">
        <v>168</v>
      </c>
      <c r="K49" s="86"/>
    </row>
    <row r="50" spans="1:11" ht="15" x14ac:dyDescent="0.2">
      <c r="A50" s="85">
        <v>45</v>
      </c>
      <c r="B50" s="92" t="s">
        <v>107</v>
      </c>
      <c r="C50" s="87" t="s">
        <v>61</v>
      </c>
      <c r="D50" s="87">
        <v>185</v>
      </c>
      <c r="E50" s="87">
        <v>6</v>
      </c>
      <c r="F50" s="88">
        <f>D50*E50</f>
        <v>1110</v>
      </c>
      <c r="G50" s="102"/>
      <c r="H50" s="102"/>
      <c r="I50" s="90" t="s">
        <v>165</v>
      </c>
      <c r="J50" s="90" t="s">
        <v>168</v>
      </c>
      <c r="K50" s="86"/>
    </row>
    <row r="51" spans="1:11" ht="25.5" x14ac:dyDescent="0.2">
      <c r="A51" s="91">
        <v>46</v>
      </c>
      <c r="B51" s="92" t="s">
        <v>108</v>
      </c>
      <c r="C51" s="87" t="s">
        <v>44</v>
      </c>
      <c r="D51" s="87">
        <v>15</v>
      </c>
      <c r="E51" s="87">
        <v>2</v>
      </c>
      <c r="F51" s="101">
        <f>D51*E51</f>
        <v>30</v>
      </c>
      <c r="G51" s="102"/>
      <c r="H51" s="102"/>
      <c r="I51" s="90" t="s">
        <v>165</v>
      </c>
      <c r="J51" s="90" t="s">
        <v>168</v>
      </c>
      <c r="K51" s="86"/>
    </row>
    <row r="52" spans="1:11" ht="15" x14ac:dyDescent="0.2">
      <c r="A52" s="85">
        <v>47</v>
      </c>
      <c r="B52" s="92" t="s">
        <v>109</v>
      </c>
      <c r="C52" s="87" t="s">
        <v>44</v>
      </c>
      <c r="D52" s="87">
        <v>0.6</v>
      </c>
      <c r="E52" s="87">
        <v>200</v>
      </c>
      <c r="F52" s="88">
        <f>D52*E52</f>
        <v>120</v>
      </c>
      <c r="G52" s="102"/>
      <c r="H52" s="102"/>
      <c r="I52" s="90" t="s">
        <v>165</v>
      </c>
      <c r="J52" s="90" t="s">
        <v>168</v>
      </c>
      <c r="K52" s="86"/>
    </row>
    <row r="53" spans="1:11" ht="15" x14ac:dyDescent="0.2">
      <c r="A53" s="85">
        <v>48</v>
      </c>
      <c r="B53" s="84" t="s">
        <v>114</v>
      </c>
      <c r="C53" s="87" t="s">
        <v>44</v>
      </c>
      <c r="D53" s="87">
        <v>1</v>
      </c>
      <c r="E53" s="87">
        <v>30</v>
      </c>
      <c r="F53" s="87">
        <f>D53*E53</f>
        <v>30</v>
      </c>
      <c r="G53" s="102"/>
      <c r="H53" s="102"/>
      <c r="I53" s="90" t="s">
        <v>165</v>
      </c>
      <c r="J53" s="90" t="s">
        <v>168</v>
      </c>
      <c r="K53" s="86"/>
    </row>
    <row r="54" spans="1:11" ht="25.5" x14ac:dyDescent="0.2">
      <c r="A54" s="85">
        <v>49</v>
      </c>
      <c r="B54" s="84" t="s">
        <v>117</v>
      </c>
      <c r="C54" s="87" t="s">
        <v>44</v>
      </c>
      <c r="D54" s="87">
        <v>1.5</v>
      </c>
      <c r="E54" s="87">
        <v>18</v>
      </c>
      <c r="F54" s="87">
        <f t="shared" ref="F54:F57" si="5">D54*E54</f>
        <v>27</v>
      </c>
      <c r="G54" s="102"/>
      <c r="H54" s="102"/>
      <c r="I54" s="90" t="s">
        <v>165</v>
      </c>
      <c r="J54" s="90" t="s">
        <v>168</v>
      </c>
      <c r="K54" s="86"/>
    </row>
    <row r="55" spans="1:11" ht="15" x14ac:dyDescent="0.2">
      <c r="A55" s="85">
        <v>50</v>
      </c>
      <c r="B55" s="84" t="s">
        <v>118</v>
      </c>
      <c r="C55" s="87" t="s">
        <v>76</v>
      </c>
      <c r="D55" s="87">
        <v>14</v>
      </c>
      <c r="E55" s="87">
        <v>1</v>
      </c>
      <c r="F55" s="87">
        <f t="shared" si="5"/>
        <v>14</v>
      </c>
      <c r="G55" s="102"/>
      <c r="H55" s="102"/>
      <c r="I55" s="90" t="s">
        <v>165</v>
      </c>
      <c r="J55" s="90" t="s">
        <v>168</v>
      </c>
      <c r="K55" s="86"/>
    </row>
    <row r="56" spans="1:11" ht="15" x14ac:dyDescent="0.2">
      <c r="A56" s="85">
        <v>51</v>
      </c>
      <c r="B56" s="84" t="s">
        <v>119</v>
      </c>
      <c r="C56" s="87" t="s">
        <v>76</v>
      </c>
      <c r="D56" s="87">
        <v>1.5</v>
      </c>
      <c r="E56" s="87">
        <v>4</v>
      </c>
      <c r="F56" s="87">
        <f t="shared" si="5"/>
        <v>6</v>
      </c>
      <c r="G56" s="102"/>
      <c r="H56" s="102"/>
      <c r="I56" s="90" t="s">
        <v>165</v>
      </c>
      <c r="J56" s="90" t="s">
        <v>168</v>
      </c>
      <c r="K56" s="86"/>
    </row>
    <row r="57" spans="1:11" ht="15" x14ac:dyDescent="0.2">
      <c r="A57" s="85">
        <v>52</v>
      </c>
      <c r="B57" s="102" t="s">
        <v>75</v>
      </c>
      <c r="C57" s="87" t="s">
        <v>76</v>
      </c>
      <c r="D57" s="88">
        <v>35</v>
      </c>
      <c r="E57" s="88">
        <v>12</v>
      </c>
      <c r="F57" s="88">
        <f t="shared" si="5"/>
        <v>420</v>
      </c>
      <c r="G57" s="102"/>
      <c r="H57" s="102"/>
      <c r="I57" s="90" t="s">
        <v>165</v>
      </c>
      <c r="J57" s="90" t="s">
        <v>168</v>
      </c>
      <c r="K57" s="86"/>
    </row>
    <row r="58" spans="1:11" ht="15" x14ac:dyDescent="0.2">
      <c r="A58" s="85">
        <v>53</v>
      </c>
      <c r="B58" s="84" t="s">
        <v>120</v>
      </c>
      <c r="C58" s="87" t="s">
        <v>121</v>
      </c>
      <c r="D58" s="87" t="s">
        <v>123</v>
      </c>
      <c r="E58" s="87" t="s">
        <v>122</v>
      </c>
      <c r="F58" s="101">
        <f>2533.33*3</f>
        <v>7599.99</v>
      </c>
      <c r="G58" s="102"/>
      <c r="H58" s="102"/>
      <c r="I58" s="90" t="s">
        <v>165</v>
      </c>
      <c r="J58" s="90" t="s">
        <v>168</v>
      </c>
      <c r="K58" s="86"/>
    </row>
    <row r="59" spans="1:11" ht="15" x14ac:dyDescent="0.2">
      <c r="A59" s="85">
        <v>54</v>
      </c>
      <c r="B59" s="84" t="s">
        <v>173</v>
      </c>
      <c r="C59" s="87" t="s">
        <v>61</v>
      </c>
      <c r="D59" s="87"/>
      <c r="E59" s="87">
        <v>1</v>
      </c>
      <c r="F59" s="101"/>
      <c r="G59" s="102"/>
      <c r="H59" s="102"/>
      <c r="I59" s="90" t="s">
        <v>165</v>
      </c>
      <c r="J59" s="90" t="s">
        <v>168</v>
      </c>
      <c r="K59" s="86"/>
    </row>
    <row r="60" spans="1:11" ht="25.5" x14ac:dyDescent="0.2">
      <c r="A60" s="85">
        <v>55</v>
      </c>
      <c r="B60" s="84" t="s">
        <v>174</v>
      </c>
      <c r="C60" s="87" t="s">
        <v>44</v>
      </c>
      <c r="D60" s="87"/>
      <c r="E60" s="87">
        <v>1</v>
      </c>
      <c r="F60" s="101"/>
      <c r="G60" s="102"/>
      <c r="H60" s="102"/>
      <c r="I60" s="90"/>
      <c r="J60" s="90"/>
      <c r="K60" s="86"/>
    </row>
    <row r="61" spans="1:11" ht="25.5" x14ac:dyDescent="0.2">
      <c r="A61" s="85">
        <v>56</v>
      </c>
      <c r="B61" s="84" t="s">
        <v>71</v>
      </c>
      <c r="C61" s="87" t="s">
        <v>44</v>
      </c>
      <c r="D61" s="87"/>
      <c r="E61" s="87">
        <v>10</v>
      </c>
      <c r="F61" s="101"/>
      <c r="G61" s="102"/>
      <c r="H61" s="102"/>
      <c r="I61" s="90"/>
      <c r="J61" s="90"/>
      <c r="K61" s="86"/>
    </row>
    <row r="62" spans="1:11" ht="15" x14ac:dyDescent="0.2">
      <c r="A62" s="85">
        <v>57</v>
      </c>
      <c r="B62" s="84" t="s">
        <v>175</v>
      </c>
      <c r="C62" s="87" t="s">
        <v>176</v>
      </c>
      <c r="D62" s="87"/>
      <c r="E62" s="87">
        <v>5</v>
      </c>
      <c r="F62" s="101"/>
      <c r="G62" s="102"/>
      <c r="H62" s="102"/>
      <c r="I62" s="90"/>
      <c r="J62" s="90"/>
      <c r="K62" s="86"/>
    </row>
    <row r="63" spans="1:11" ht="25.5" x14ac:dyDescent="0.2">
      <c r="A63" s="85">
        <v>58</v>
      </c>
      <c r="B63" s="84" t="s">
        <v>177</v>
      </c>
      <c r="C63" s="87" t="s">
        <v>44</v>
      </c>
      <c r="D63" s="87"/>
      <c r="E63" s="87">
        <v>6</v>
      </c>
      <c r="F63" s="101"/>
      <c r="G63" s="102"/>
      <c r="H63" s="102"/>
      <c r="I63" s="90" t="s">
        <v>165</v>
      </c>
      <c r="J63" s="90" t="s">
        <v>168</v>
      </c>
      <c r="K63" s="86"/>
    </row>
    <row r="64" spans="1:11" ht="15" x14ac:dyDescent="0.2">
      <c r="A64" s="85">
        <v>59</v>
      </c>
      <c r="B64" s="84" t="s">
        <v>178</v>
      </c>
      <c r="C64" s="87" t="s">
        <v>44</v>
      </c>
      <c r="D64" s="87"/>
      <c r="E64" s="87">
        <v>10</v>
      </c>
      <c r="F64" s="101"/>
      <c r="G64" s="102"/>
      <c r="H64" s="102"/>
      <c r="I64" s="90"/>
      <c r="J64" s="90"/>
      <c r="K64" s="86"/>
    </row>
    <row r="65" spans="1:11" ht="15" x14ac:dyDescent="0.2">
      <c r="A65" s="85">
        <v>60</v>
      </c>
      <c r="B65" s="84" t="s">
        <v>179</v>
      </c>
      <c r="C65" s="87" t="s">
        <v>55</v>
      </c>
      <c r="D65" s="87"/>
      <c r="E65" s="87">
        <v>5</v>
      </c>
      <c r="F65" s="101"/>
      <c r="G65" s="102"/>
      <c r="H65" s="102"/>
      <c r="I65" s="90" t="s">
        <v>165</v>
      </c>
      <c r="J65" s="90" t="s">
        <v>168</v>
      </c>
      <c r="K65" s="86"/>
    </row>
    <row r="66" spans="1:11" ht="15" x14ac:dyDescent="0.2">
      <c r="A66" s="85">
        <v>61</v>
      </c>
      <c r="B66" s="84" t="s">
        <v>180</v>
      </c>
      <c r="C66" s="87" t="s">
        <v>43</v>
      </c>
      <c r="D66" s="87"/>
      <c r="E66" s="87">
        <v>1</v>
      </c>
      <c r="F66" s="101"/>
      <c r="G66" s="102"/>
      <c r="H66" s="102"/>
      <c r="I66" s="90"/>
      <c r="J66" s="90"/>
      <c r="K66" s="86"/>
    </row>
    <row r="67" spans="1:11" ht="15" x14ac:dyDescent="0.2">
      <c r="A67" s="85">
        <v>62</v>
      </c>
      <c r="B67" s="84" t="s">
        <v>181</v>
      </c>
      <c r="C67" s="87" t="s">
        <v>43</v>
      </c>
      <c r="D67" s="87"/>
      <c r="E67" s="87">
        <v>1</v>
      </c>
      <c r="F67" s="101"/>
      <c r="G67" s="102"/>
      <c r="H67" s="102"/>
      <c r="I67" s="90"/>
      <c r="J67" s="90"/>
      <c r="K67" s="86"/>
    </row>
    <row r="68" spans="1:11" ht="15" x14ac:dyDescent="0.2">
      <c r="A68" s="85">
        <v>63</v>
      </c>
      <c r="B68" s="84" t="s">
        <v>182</v>
      </c>
      <c r="C68" s="87" t="s">
        <v>44</v>
      </c>
      <c r="D68" s="87"/>
      <c r="E68" s="87">
        <v>1</v>
      </c>
      <c r="F68" s="101"/>
      <c r="G68" s="102"/>
      <c r="H68" s="102"/>
      <c r="I68" s="90"/>
      <c r="J68" s="90"/>
      <c r="K68" s="86"/>
    </row>
    <row r="69" spans="1:11" ht="15" x14ac:dyDescent="0.2">
      <c r="A69" s="85"/>
      <c r="B69" s="84"/>
      <c r="C69" s="87"/>
      <c r="D69" s="87"/>
      <c r="E69" s="87"/>
      <c r="F69" s="101"/>
      <c r="G69" s="102"/>
      <c r="H69" s="102"/>
      <c r="I69" s="90"/>
      <c r="J69" s="90"/>
      <c r="K69" s="86"/>
    </row>
    <row r="70" spans="1:11" ht="24.75" customHeight="1" x14ac:dyDescent="0.2">
      <c r="A70" s="16"/>
      <c r="B70" s="17"/>
      <c r="C70" s="13"/>
      <c r="D70" s="13"/>
      <c r="E70" s="13"/>
      <c r="F70" s="107">
        <f>SUM(F6:F69)</f>
        <v>30302.89</v>
      </c>
    </row>
    <row r="71" spans="1:11" ht="15" x14ac:dyDescent="0.2">
      <c r="A71" s="16"/>
      <c r="B71" s="17"/>
      <c r="C71" s="13"/>
      <c r="D71" s="13"/>
      <c r="E71" s="13"/>
    </row>
    <row r="72" spans="1:11" x14ac:dyDescent="0.2">
      <c r="D72" s="13"/>
      <c r="E72" s="13"/>
      <c r="F72" s="15" t="s">
        <v>101</v>
      </c>
    </row>
    <row r="73" spans="1:11" x14ac:dyDescent="0.2">
      <c r="D73" s="13"/>
      <c r="E73" s="13"/>
    </row>
    <row r="74" spans="1:11" x14ac:dyDescent="0.2">
      <c r="D74" s="13"/>
      <c r="E74" s="13"/>
    </row>
    <row r="75" spans="1:11" x14ac:dyDescent="0.2">
      <c r="D75" s="13"/>
      <c r="E75" s="13"/>
    </row>
    <row r="76" spans="1:11" x14ac:dyDescent="0.2">
      <c r="D76" s="13"/>
      <c r="E76" s="13"/>
    </row>
    <row r="77" spans="1:11" x14ac:dyDescent="0.2">
      <c r="D77" s="13"/>
      <c r="E77" s="13"/>
    </row>
  </sheetData>
  <mergeCells count="6">
    <mergeCell ref="G3:H3"/>
    <mergeCell ref="A3:A4"/>
    <mergeCell ref="B3:B4"/>
    <mergeCell ref="C3:C4"/>
    <mergeCell ref="D3:D4"/>
    <mergeCell ref="E3:F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E2C3-3441-453C-BEDE-05CC9687F2D9}">
  <dimension ref="A1:I7"/>
  <sheetViews>
    <sheetView workbookViewId="0">
      <selection activeCell="F21" sqref="F21"/>
    </sheetView>
  </sheetViews>
  <sheetFormatPr defaultRowHeight="12.75" x14ac:dyDescent="0.2"/>
  <cols>
    <col min="2" max="2" width="24.83203125" bestFit="1" customWidth="1"/>
    <col min="9" max="9" width="35" bestFit="1" customWidth="1"/>
  </cols>
  <sheetData>
    <row r="1" spans="1:9" x14ac:dyDescent="0.2">
      <c r="A1" s="2" t="s">
        <v>79</v>
      </c>
      <c r="B1" s="2" t="s">
        <v>81</v>
      </c>
      <c r="C1" s="2" t="s">
        <v>84</v>
      </c>
      <c r="D1" s="2" t="s">
        <v>85</v>
      </c>
      <c r="E1" s="2" t="s">
        <v>86</v>
      </c>
      <c r="F1" s="1"/>
    </row>
    <row r="2" spans="1:9" x14ac:dyDescent="0.2">
      <c r="A2" s="2">
        <v>1</v>
      </c>
      <c r="B2" s="2">
        <v>2</v>
      </c>
      <c r="C2" s="2">
        <v>3</v>
      </c>
      <c r="D2" s="2">
        <v>4</v>
      </c>
      <c r="E2" s="2">
        <v>5</v>
      </c>
      <c r="F2" s="1"/>
    </row>
    <row r="3" spans="1:9" x14ac:dyDescent="0.2">
      <c r="A3" s="3" t="s">
        <v>80</v>
      </c>
      <c r="B3" s="3" t="s">
        <v>82</v>
      </c>
      <c r="C3" s="4">
        <v>4.5999999999999996</v>
      </c>
      <c r="D3" s="5">
        <v>4</v>
      </c>
      <c r="E3" s="6">
        <f>SUM(C3*D3)</f>
        <v>18.399999999999999</v>
      </c>
      <c r="I3" s="9" t="s">
        <v>90</v>
      </c>
    </row>
    <row r="4" spans="1:9" x14ac:dyDescent="0.2">
      <c r="A4" s="3" t="s">
        <v>89</v>
      </c>
      <c r="B4" s="3" t="s">
        <v>83</v>
      </c>
      <c r="C4" s="4">
        <v>2.4</v>
      </c>
      <c r="D4" s="5">
        <v>5</v>
      </c>
      <c r="E4" s="6">
        <f t="shared" ref="E4:E5" si="0">SUM(C4*D4)</f>
        <v>12</v>
      </c>
    </row>
    <row r="5" spans="1:9" x14ac:dyDescent="0.2">
      <c r="A5" s="3" t="s">
        <v>88</v>
      </c>
      <c r="B5" s="7">
        <v>1919</v>
      </c>
      <c r="C5" s="4">
        <v>2.4</v>
      </c>
      <c r="D5" s="5">
        <v>1</v>
      </c>
      <c r="E5" s="6">
        <f t="shared" si="0"/>
        <v>2.4</v>
      </c>
    </row>
    <row r="6" spans="1:9" x14ac:dyDescent="0.2">
      <c r="A6" s="3" t="s">
        <v>89</v>
      </c>
      <c r="B6" s="7">
        <v>1901</v>
      </c>
      <c r="C6" s="8">
        <v>2</v>
      </c>
      <c r="D6" s="5">
        <v>1</v>
      </c>
      <c r="E6" s="6">
        <f>C6*D6</f>
        <v>2</v>
      </c>
    </row>
    <row r="7" spans="1:9" x14ac:dyDescent="0.2">
      <c r="A7" s="152" t="s">
        <v>87</v>
      </c>
      <c r="B7" s="152"/>
      <c r="C7" s="152"/>
      <c r="D7" s="2">
        <f>D3+D4+D5+D6</f>
        <v>11</v>
      </c>
      <c r="E7" s="2">
        <f>E3+E4+E5+E6</f>
        <v>34.799999999999997</v>
      </c>
    </row>
  </sheetData>
  <mergeCells count="1">
    <mergeCell ref="A7:C7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0DA7-F4B6-40C9-905E-B1764A3A0F24}">
  <dimension ref="A1:F6"/>
  <sheetViews>
    <sheetView workbookViewId="0">
      <selection activeCell="F21" sqref="F21"/>
    </sheetView>
  </sheetViews>
  <sheetFormatPr defaultRowHeight="12.75" x14ac:dyDescent="0.2"/>
  <cols>
    <col min="2" max="2" width="24.83203125" bestFit="1" customWidth="1"/>
  </cols>
  <sheetData>
    <row r="1" spans="1:6" x14ac:dyDescent="0.2">
      <c r="A1" s="2" t="s">
        <v>79</v>
      </c>
      <c r="B1" s="2" t="s">
        <v>81</v>
      </c>
      <c r="C1" s="2" t="s">
        <v>84</v>
      </c>
      <c r="D1" s="2" t="s">
        <v>85</v>
      </c>
      <c r="E1" s="2" t="s">
        <v>86</v>
      </c>
      <c r="F1" s="2" t="s">
        <v>104</v>
      </c>
    </row>
    <row r="2" spans="1:6" x14ac:dyDescent="0.2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</row>
    <row r="3" spans="1:6" x14ac:dyDescent="0.2">
      <c r="A3" s="3" t="s">
        <v>80</v>
      </c>
      <c r="B3" s="3" t="s">
        <v>103</v>
      </c>
      <c r="C3" s="4">
        <v>26</v>
      </c>
      <c r="D3" s="5">
        <v>2</v>
      </c>
      <c r="E3" s="6">
        <f>SUM(C3*D3)</f>
        <v>52</v>
      </c>
      <c r="F3" s="5">
        <v>20</v>
      </c>
    </row>
    <row r="4" spans="1:6" x14ac:dyDescent="0.2">
      <c r="A4" s="3" t="s">
        <v>89</v>
      </c>
      <c r="B4" s="3" t="s">
        <v>102</v>
      </c>
      <c r="C4" s="4">
        <v>17</v>
      </c>
      <c r="D4" s="5">
        <v>5</v>
      </c>
      <c r="E4" s="6">
        <f t="shared" ref="E4:E5" si="0">SUM(C4*D4)</f>
        <v>85</v>
      </c>
      <c r="F4" s="5">
        <v>35</v>
      </c>
    </row>
    <row r="5" spans="1:6" x14ac:dyDescent="0.2">
      <c r="A5" s="3" t="s">
        <v>88</v>
      </c>
      <c r="B5" s="7">
        <v>1919</v>
      </c>
      <c r="C5" s="4">
        <v>25</v>
      </c>
      <c r="D5" s="5">
        <v>1</v>
      </c>
      <c r="E5" s="6">
        <f t="shared" si="0"/>
        <v>25</v>
      </c>
      <c r="F5" s="5">
        <v>9</v>
      </c>
    </row>
    <row r="6" spans="1:6" x14ac:dyDescent="0.2">
      <c r="A6" s="152" t="s">
        <v>87</v>
      </c>
      <c r="B6" s="152"/>
      <c r="C6" s="152"/>
      <c r="D6" s="2">
        <f>D3+D4+D5</f>
        <v>8</v>
      </c>
      <c r="E6" s="2">
        <f>E3+E4+E5</f>
        <v>162</v>
      </c>
      <c r="F6" s="2">
        <f>F3+F4+F5</f>
        <v>64</v>
      </c>
    </row>
  </sheetData>
  <mergeCells count="1">
    <mergeCell ref="A6: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618A-EEDD-4A08-9BC4-B00E055C7D14}">
  <dimension ref="A1:H15"/>
  <sheetViews>
    <sheetView workbookViewId="0">
      <selection activeCell="K20" sqref="K20"/>
    </sheetView>
  </sheetViews>
  <sheetFormatPr defaultRowHeight="12.75" x14ac:dyDescent="0.2"/>
  <cols>
    <col min="2" max="2" width="19.33203125" customWidth="1"/>
  </cols>
  <sheetData>
    <row r="1" spans="1:8" x14ac:dyDescent="0.2">
      <c r="A1" s="2" t="s">
        <v>79</v>
      </c>
      <c r="B1" s="2" t="s">
        <v>81</v>
      </c>
      <c r="C1" s="2" t="s">
        <v>84</v>
      </c>
      <c r="D1" s="2" t="s">
        <v>85</v>
      </c>
      <c r="E1" s="2" t="s">
        <v>161</v>
      </c>
    </row>
    <row r="2" spans="1:8" x14ac:dyDescent="0.2">
      <c r="A2" s="2">
        <v>1</v>
      </c>
      <c r="B2" s="2">
        <v>2</v>
      </c>
      <c r="C2" s="2">
        <v>3</v>
      </c>
      <c r="D2" s="2">
        <v>4</v>
      </c>
      <c r="E2" s="2">
        <v>6</v>
      </c>
    </row>
    <row r="3" spans="1:8" x14ac:dyDescent="0.2">
      <c r="A3" s="3" t="s">
        <v>89</v>
      </c>
      <c r="B3" s="3" t="s">
        <v>158</v>
      </c>
      <c r="C3" s="4" t="s">
        <v>159</v>
      </c>
      <c r="D3" s="5">
        <v>2</v>
      </c>
      <c r="E3" s="5"/>
    </row>
    <row r="4" spans="1:8" x14ac:dyDescent="0.2">
      <c r="A4" s="3" t="s">
        <v>89</v>
      </c>
      <c r="B4" s="7" t="s">
        <v>157</v>
      </c>
      <c r="C4" s="4" t="s">
        <v>160</v>
      </c>
      <c r="D4" s="5">
        <v>2</v>
      </c>
      <c r="E4" s="5"/>
    </row>
    <row r="5" spans="1:8" x14ac:dyDescent="0.2">
      <c r="A5" s="152" t="s">
        <v>87</v>
      </c>
      <c r="B5" s="152"/>
      <c r="C5" s="152"/>
      <c r="D5" s="2">
        <f>D3+D4</f>
        <v>4</v>
      </c>
      <c r="E5" s="2">
        <f>E3+E4</f>
        <v>0</v>
      </c>
    </row>
    <row r="11" spans="1:8" x14ac:dyDescent="0.2">
      <c r="H11" t="s">
        <v>101</v>
      </c>
    </row>
    <row r="15" spans="1:8" x14ac:dyDescent="0.2">
      <c r="E15" t="s">
        <v>101</v>
      </c>
    </row>
  </sheetData>
  <mergeCells count="1">
    <mergeCell ref="A5:C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8A9E9-6217-4D6E-8150-34C003979F8C}">
  <dimension ref="A2:H12"/>
  <sheetViews>
    <sheetView workbookViewId="0">
      <selection activeCell="B22" sqref="B22"/>
    </sheetView>
  </sheetViews>
  <sheetFormatPr defaultColWidth="8.83203125" defaultRowHeight="12.75" x14ac:dyDescent="0.2"/>
  <cols>
    <col min="1" max="1" width="8.83203125" style="19"/>
    <col min="2" max="2" width="27" style="19" bestFit="1" customWidth="1"/>
    <col min="3" max="3" width="8.83203125" style="19"/>
    <col min="4" max="4" width="15" style="19" customWidth="1"/>
    <col min="5" max="5" width="8.83203125" style="19"/>
    <col min="6" max="6" width="13.83203125" style="19" customWidth="1"/>
    <col min="7" max="7" width="16" style="19" customWidth="1"/>
    <col min="8" max="16384" width="8.83203125" style="19"/>
  </cols>
  <sheetData>
    <row r="2" spans="1:8" x14ac:dyDescent="0.2">
      <c r="A2" s="153" t="s">
        <v>0</v>
      </c>
      <c r="B2" s="155" t="s">
        <v>111</v>
      </c>
      <c r="C2" s="157" t="s">
        <v>2</v>
      </c>
      <c r="D2" s="155" t="s">
        <v>3</v>
      </c>
      <c r="E2" s="159" t="s">
        <v>7</v>
      </c>
      <c r="F2" s="160"/>
      <c r="G2" s="18"/>
    </row>
    <row r="3" spans="1:8" x14ac:dyDescent="0.2">
      <c r="A3" s="154"/>
      <c r="B3" s="156"/>
      <c r="C3" s="158"/>
      <c r="D3" s="156"/>
      <c r="E3" s="20" t="s">
        <v>5</v>
      </c>
      <c r="F3" s="20" t="s">
        <v>6</v>
      </c>
      <c r="G3" s="21"/>
    </row>
    <row r="4" spans="1:8" ht="15" x14ac:dyDescent="0.2">
      <c r="A4" s="22"/>
      <c r="B4" s="23">
        <v>2</v>
      </c>
      <c r="C4" s="23">
        <v>3</v>
      </c>
      <c r="D4" s="23">
        <v>4</v>
      </c>
      <c r="E4" s="23">
        <v>5</v>
      </c>
      <c r="F4" s="23">
        <v>6</v>
      </c>
      <c r="G4" s="24"/>
    </row>
    <row r="5" spans="1:8" x14ac:dyDescent="0.2">
      <c r="A5" s="25">
        <v>1</v>
      </c>
      <c r="B5" s="18" t="s">
        <v>112</v>
      </c>
      <c r="C5" s="25" t="s">
        <v>44</v>
      </c>
      <c r="D5" s="25">
        <v>695</v>
      </c>
      <c r="E5" s="25">
        <v>1</v>
      </c>
      <c r="F5" s="25">
        <f>D5*E5</f>
        <v>695</v>
      </c>
      <c r="G5" s="18"/>
      <c r="H5" s="110" t="s">
        <v>184</v>
      </c>
    </row>
    <row r="6" spans="1:8" x14ac:dyDescent="0.2">
      <c r="A6" s="25">
        <v>2</v>
      </c>
      <c r="B6" s="18" t="s">
        <v>113</v>
      </c>
      <c r="C6" s="25" t="s">
        <v>44</v>
      </c>
      <c r="D6" s="25">
        <v>2990</v>
      </c>
      <c r="E6" s="25">
        <v>1</v>
      </c>
      <c r="F6" s="25">
        <f>D6*E6</f>
        <v>2990</v>
      </c>
      <c r="G6" s="18"/>
      <c r="H6" s="110" t="s">
        <v>184</v>
      </c>
    </row>
    <row r="7" spans="1:8" ht="38.25" x14ac:dyDescent="0.2">
      <c r="A7" s="25">
        <v>3</v>
      </c>
      <c r="B7" s="26" t="s">
        <v>125</v>
      </c>
      <c r="C7" s="12" t="s">
        <v>44</v>
      </c>
      <c r="D7" s="12">
        <v>45</v>
      </c>
      <c r="E7" s="12">
        <v>2</v>
      </c>
      <c r="F7" s="5">
        <f>D7*E7</f>
        <v>90</v>
      </c>
      <c r="G7" s="18"/>
      <c r="H7" s="109" t="s">
        <v>185</v>
      </c>
    </row>
    <row r="8" spans="1:8" x14ac:dyDescent="0.2">
      <c r="A8" s="25"/>
      <c r="B8" s="18"/>
      <c r="C8" s="18"/>
      <c r="D8" s="18"/>
      <c r="E8" s="18"/>
      <c r="F8" s="18"/>
      <c r="G8" s="18"/>
    </row>
    <row r="9" spans="1:8" x14ac:dyDescent="0.2">
      <c r="A9" s="25"/>
      <c r="B9" s="18"/>
      <c r="C9" s="18"/>
      <c r="D9" s="18"/>
      <c r="E9" s="18"/>
      <c r="F9" s="18"/>
      <c r="G9" s="18"/>
    </row>
    <row r="10" spans="1:8" x14ac:dyDescent="0.2">
      <c r="A10" s="25"/>
      <c r="B10" s="18"/>
      <c r="C10" s="18"/>
      <c r="D10" s="18"/>
      <c r="E10" s="18"/>
      <c r="F10" s="18"/>
      <c r="G10" s="18"/>
    </row>
    <row r="11" spans="1:8" x14ac:dyDescent="0.2">
      <c r="A11" s="18"/>
      <c r="B11" s="18"/>
      <c r="C11" s="18"/>
      <c r="D11" s="18"/>
      <c r="E11" s="18"/>
      <c r="F11" s="18"/>
      <c r="G11" s="18"/>
    </row>
    <row r="12" spans="1:8" x14ac:dyDescent="0.2">
      <c r="F12" s="31">
        <f>SUM(F5:F11)</f>
        <v>3775</v>
      </c>
    </row>
  </sheetData>
  <mergeCells count="5">
    <mergeCell ref="A2:A3"/>
    <mergeCell ref="B2:B3"/>
    <mergeCell ref="C2:C3"/>
    <mergeCell ref="D2:D3"/>
    <mergeCell ref="E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1340-F19D-4F93-8014-EE5B8ABAE7BA}">
  <dimension ref="A1:E8"/>
  <sheetViews>
    <sheetView workbookViewId="0">
      <selection activeCell="E20" sqref="E20"/>
    </sheetView>
  </sheetViews>
  <sheetFormatPr defaultRowHeight="12.75" x14ac:dyDescent="0.2"/>
  <cols>
    <col min="2" max="2" width="16.1640625" bestFit="1" customWidth="1"/>
    <col min="3" max="3" width="31.33203125" bestFit="1" customWidth="1"/>
    <col min="4" max="4" width="11.83203125" bestFit="1" customWidth="1"/>
    <col min="5" max="5" width="14.33203125" customWidth="1"/>
  </cols>
  <sheetData>
    <row r="1" spans="1:5" ht="38.25" x14ac:dyDescent="0.2">
      <c r="A1" s="7"/>
      <c r="B1" s="28" t="s">
        <v>133</v>
      </c>
      <c r="C1" s="28" t="s">
        <v>134</v>
      </c>
      <c r="D1" s="11" t="s">
        <v>135</v>
      </c>
      <c r="E1" s="30" t="s">
        <v>136</v>
      </c>
    </row>
    <row r="2" spans="1:5" x14ac:dyDescent="0.2">
      <c r="A2" s="42">
        <v>1</v>
      </c>
      <c r="B2" s="7" t="s">
        <v>129</v>
      </c>
      <c r="C2" s="7" t="s">
        <v>130</v>
      </c>
      <c r="D2" s="5">
        <v>8</v>
      </c>
      <c r="E2" s="5">
        <v>500</v>
      </c>
    </row>
    <row r="3" spans="1:5" ht="38.25" x14ac:dyDescent="0.2">
      <c r="A3" s="5">
        <v>2</v>
      </c>
      <c r="B3" s="7" t="s">
        <v>131</v>
      </c>
      <c r="C3" s="27" t="s">
        <v>132</v>
      </c>
      <c r="D3" s="5">
        <v>10</v>
      </c>
      <c r="E3" s="5">
        <v>1000</v>
      </c>
    </row>
    <row r="4" spans="1:5" x14ac:dyDescent="0.2">
      <c r="A4" s="36">
        <v>3</v>
      </c>
      <c r="B4" s="37"/>
      <c r="C4" s="38" t="s">
        <v>141</v>
      </c>
      <c r="D4" s="36">
        <v>10</v>
      </c>
      <c r="E4" s="36">
        <v>1000</v>
      </c>
    </row>
    <row r="5" spans="1:5" ht="25.5" x14ac:dyDescent="0.2">
      <c r="A5" s="36">
        <v>4</v>
      </c>
      <c r="B5" s="4" t="s">
        <v>142</v>
      </c>
      <c r="C5" s="39" t="s">
        <v>143</v>
      </c>
      <c r="D5" s="36">
        <v>16</v>
      </c>
      <c r="E5" s="36">
        <v>800</v>
      </c>
    </row>
    <row r="6" spans="1:5" x14ac:dyDescent="0.2">
      <c r="A6" s="41">
        <v>5</v>
      </c>
      <c r="B6" s="40"/>
      <c r="C6" s="3" t="s">
        <v>19</v>
      </c>
      <c r="D6" s="3" t="s">
        <v>144</v>
      </c>
      <c r="E6" s="6">
        <v>1000</v>
      </c>
    </row>
    <row r="7" spans="1:5" ht="25.5" x14ac:dyDescent="0.2">
      <c r="A7" s="41">
        <v>6</v>
      </c>
      <c r="B7" s="8" t="s">
        <v>148</v>
      </c>
      <c r="C7" s="29" t="s">
        <v>147</v>
      </c>
      <c r="D7" s="4">
        <v>8</v>
      </c>
      <c r="E7" s="5">
        <v>400</v>
      </c>
    </row>
    <row r="8" spans="1:5" x14ac:dyDescent="0.2">
      <c r="E8" s="15">
        <f>E2+E3+E4+E5+E6+E7</f>
        <v>4700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standard</vt:lpstr>
      <vt:lpstr>executive</vt:lpstr>
      <vt:lpstr>corridor</vt:lpstr>
      <vt:lpstr>Total</vt:lpstr>
      <vt:lpstr>ხარჯაღრიცხვა</vt:lpstr>
      <vt:lpstr>სამუშაო</vt:lpstr>
      <vt:lpstr>მასალები</vt:lpstr>
      <vt:lpstr>აბაზანის იატაკი</vt:lpstr>
      <vt:lpstr>ნომრის იატაკი</vt:lpstr>
      <vt:lpstr>სარკის გამოცვლა</vt:lpstr>
      <vt:lpstr>ინსტრუმენტები</vt:lpstr>
      <vt:lpstr>შემსრულებლები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 Osanadze</dc:creator>
  <cp:lastModifiedBy>Nino Grigolia</cp:lastModifiedBy>
  <dcterms:created xsi:type="dcterms:W3CDTF">2022-11-17T08:09:43Z</dcterms:created>
  <dcterms:modified xsi:type="dcterms:W3CDTF">2026-08-13T12:31:15Z</dcterms:modified>
</cp:coreProperties>
</file>