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შეჯამება" sheetId="1" state="visible" r:id="rId3"/>
    <sheet name="დაშვებები" sheetId="2" state="visible" r:id="rId4"/>
    <sheet name="standard" sheetId="3" state="visible" r:id="rId5"/>
    <sheet name="executive" sheetId="4" state="visible" r:id="rId6"/>
    <sheet name="corridor" sheetId="5" state="visible" r:id="rId7"/>
    <sheet name="Total" sheetId="6" state="visible" r:id="rId8"/>
    <sheet name="სამუშაო" sheetId="7" state="visible" r:id="rId9"/>
    <sheet name="მასალები" sheetId="8" state="visible" r:id="rId10"/>
    <sheet name="ინსტრუმენტები" sheetId="9" state="visible" r:id="rId11"/>
    <sheet name="შემსრულებლები" sheetId="10" state="visible" r:id="rId12"/>
    <sheet name="განზომილებები" sheetId="11" state="visible" r:id="rId13"/>
    <sheet name="წყაროები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<sst xmlns="http://schemas.openxmlformats.org/spreadsheetml/2006/main" count="1055" uniqueCount="518">
  <si>
    <t xml:space="preserve">სასტუმროს მე-19 სართულის რემონტი — ბიუჯეტის შეჯამება</t>
  </si>
  <si>
    <t xml:space="preserve">ოთახები 1901–1919 (14 standard, 4 executive/business) + დერეფანი · ვალუტა: ლარი (GEL), დღგ 18% ჩათვლით</t>
  </si>
  <si>
    <t xml:space="preserve">ფასები გადამოწმებულია 13.08.2026 · კურსი: 1 EUR = 3.0205 ₾, 1 USD = 2.6181 ₾ (ეროვნული ბანკი) · იხ. „დაშვებები“ და „წყაროები“</t>
  </si>
  <si>
    <t xml:space="preserve">A. მიმდინარე სარემონტო სამუშაოები — ფაქტი და ვალდებულებები</t>
  </si>
  <si>
    <t xml:space="preserve">მუხლი</t>
  </si>
  <si>
    <t xml:space="preserve">თანხა (₾)</t>
  </si>
  <si>
    <t xml:space="preserve">აქედან გადახდილი (₾)</t>
  </si>
  <si>
    <t xml:space="preserve">შენიშვნა</t>
  </si>
  <si>
    <t xml:space="preserve">სამუშაოები</t>
  </si>
  <si>
    <t xml:space="preserve">IN-HOUSE სამუშაოები = 0 ₾ (სასტუმროს პერსონალი)</t>
  </si>
  <si>
    <t xml:space="preserve">შემსრულებლები (სამუშაოს ცხრილს გარეთ)</t>
  </si>
  <si>
    <t xml:space="preserve">გადაფარვის გარეშე — იხ. ფურცელი „შემსრულებლები“</t>
  </si>
  <si>
    <t xml:space="preserve">მასალები</t>
  </si>
  <si>
    <t xml:space="preserve">შეიცავს შეფასებულ (ჯერ შეუსყიდავ) პოზიციებსაც</t>
  </si>
  <si>
    <t xml:space="preserve">ინსტრუმენტები</t>
  </si>
  <si>
    <t xml:space="preserve">DeWalt-ის ფასები განახლებულია ოფიციალურ ფასებზე — ეკონომია 845 ₾</t>
  </si>
  <si>
    <t xml:space="preserve">სულ მიმდინარე ეტაპი (A)</t>
  </si>
  <si>
    <t xml:space="preserve">დარჩენილი გადასახდელი (A)</t>
  </si>
  <si>
    <t xml:space="preserve">B. სრული განახლების საპროგნოზო ბიუჯეტი (18 ოთახი + დერეფანი)</t>
  </si>
  <si>
    <t xml:space="preserve">შუალედური ჯამი (ოთახები + დერეფანი + ნაგვის გატანა)</t>
  </si>
  <si>
    <t xml:space="preserve">14 × standard, 4 × executive, დერეფანი</t>
  </si>
  <si>
    <t xml:space="preserve">გაუთვალისწინებელი ხარჯი (10%)</t>
  </si>
  <si>
    <t xml:space="preserve">დარგობრივი ნორმა</t>
  </si>
  <si>
    <t xml:space="preserve">სულ საპროგნოზო ბიუჯეტი (B)</t>
  </si>
  <si>
    <t xml:space="preserve">C. გამოვლენილი ეკონომია — სად იხდით საბაზროზე მეტს</t>
  </si>
  <si>
    <t xml:space="preserve">პოზიცია</t>
  </si>
  <si>
    <t xml:space="preserve">ბიუჯეტში (₾)</t>
  </si>
  <si>
    <t xml:space="preserve">ბაზარზე (₾)</t>
  </si>
  <si>
    <t xml:space="preserve">პოტენციური ეკონომია</t>
  </si>
  <si>
    <t xml:space="preserve">პერფორატორი DeWalt პატარა + დიდი (1+1 ც.)</t>
  </si>
  <si>
    <t xml:space="preserve">dewaltshop.ge ოფიციალური ფასი — უკვე გასწორებულია ამ ფაილში</t>
  </si>
  <si>
    <t xml:space="preserve">ლაქი პრიალა აეროზოლი (86 ბალონი)</t>
  </si>
  <si>
    <t xml:space="preserve">81.4 ₾ vs Novol 23 ₾ (17 ₾ 6+ ც.) — შესყიდვამდე გადაამოწმეთ სპეციფიკაცია</t>
  </si>
  <si>
    <t xml:space="preserve">დუში პატარა, ხელის (18 ნომერი)</t>
  </si>
  <si>
    <t xml:space="preserve">300 ₾ vs Grohe Vitalio კომპლექტი 180 ₾ (domino.com.ge)</t>
  </si>
  <si>
    <t xml:space="preserve">Sista გამჭვირვალე სილიკონი (20 ყუთი)</t>
  </si>
  <si>
    <t xml:space="preserve">20 ₾ vs Soudal/Sista 12.2–14 ₾</t>
  </si>
  <si>
    <t xml:space="preserve">აბაზანის ნიჟარის სიფონი (10 ც.)</t>
  </si>
  <si>
    <t xml:space="preserve">114 ₾ vs Geberit 87 ₾ (gorgia.ge)</t>
  </si>
  <si>
    <t xml:space="preserve">ცემენტი, ნაგვის ტომრები, WD-40 და სხვ. წვრილმანი</t>
  </si>
  <si>
    <t xml:space="preserve">ნაწილი ძვირია, ნაწილი იაფად არის ჩადებული — დეტალები „მასალები“ ფურცელზე</t>
  </si>
  <si>
    <t xml:space="preserve">სულ პოტენციური ეკონომია</t>
  </si>
  <si>
    <t xml:space="preserve">მეთოდოლოგია და შენიშვნები</t>
  </si>
  <si>
    <t xml:space="preserve">• A და B სხვადასხვა მოცულობაა: A — მიმდინარე ეტაპის ფაქტობრივი/ნაკისრი ხარჯები; B — მომავალი სრული განახლების საბაზრო შეფასება (მასალა + სამუშაო).</t>
  </si>
  <si>
    <t xml:space="preserve">• ყველა ერთეულის ფასი გადამოწმებულია 13.08.2026 ქართულ საცალო წყაროებზე (gorgia.ge, domino.com.ge, parketi.ge, bona.com.ge, dewaltshop.ge და სხვ.) — სრული სია ფურცელზე „წყაროები“.</t>
  </si>
  <si>
    <t xml:space="preserve">• გასწორებულია ძველი ფაილის შეცდომები: (1) ხარჯაღრიცხვის ფურცელი მასალების ჯამს კარგავდა (ცარიელ F69-ს იშველიებდა) — მასალები ≈30,303 ₾ ჯამში არ ჯდებოდა; (2) standard ოთახში საღებავის სტრიქონი (125 ₾) ჯამში არ იყო; (3) 12 პოზიციას ფასი საერთოდ არ ჰქონდა — შევსებულია საბაზრო შეფასებით.</t>
  </si>
  <si>
    <t xml:space="preserve">• ლეგენდა: ლურჯი — შესაყვანი/ფაქტობრივი მონაცემი · შავი — ფორმულა · მწვანე — ბმული სხვა ფურცელზე · ყვითელი ფონი — საკვანძო დაშვება ან ჯამი.</t>
  </si>
  <si>
    <t xml:space="preserve">დაშვებები და ფასების ცნობარი / Assumptions &amp; Price Book</t>
  </si>
  <si>
    <t xml:space="preserve">ყველა ფასი — ლარი (GEL), დღგ (18%) ჩათვლით. გადამოწმებულია 13.08.2026.</t>
  </si>
  <si>
    <t xml:space="preserve">1. გლობალური დაშვებები</t>
  </si>
  <si>
    <t xml:space="preserve">N</t>
  </si>
  <si>
    <t xml:space="preserve">პარამეტრი</t>
  </si>
  <si>
    <t xml:space="preserve">განზ.</t>
  </si>
  <si>
    <t xml:space="preserve">მნიშვნ.</t>
  </si>
  <si>
    <t xml:space="preserve">წყარო</t>
  </si>
  <si>
    <t xml:space="preserve">სტატუსი</t>
  </si>
  <si>
    <t xml:space="preserve">ვალუტის კურსი EUR/GEL</t>
  </si>
  <si>
    <t xml:space="preserve">ლარი</t>
  </si>
  <si>
    <t xml:space="preserve">საქართველოს ეროვნული ბანკი (nbg.gov.ge API)</t>
  </si>
  <si>
    <t xml:space="preserve">გადამოწმებული</t>
  </si>
  <si>
    <t xml:space="preserve">ოფიციალური კურსი 13.08.2026</t>
  </si>
  <si>
    <t xml:space="preserve">ვალუტის კურსი USD/GEL</t>
  </si>
  <si>
    <t xml:space="preserve">დღგ (VAT)</t>
  </si>
  <si>
    <t xml:space="preserve">%</t>
  </si>
  <si>
    <t xml:space="preserve">საგადასახადო კოდექსი</t>
  </si>
  <si>
    <t xml:space="preserve">კანონით</t>
  </si>
  <si>
    <t xml:space="preserve">საცალო ფასები დღგ-ს უკვე მოიცავს — ცალკე არ ემატება</t>
  </si>
  <si>
    <t xml:space="preserve">გაუთვალისწინებელი ხარჯი (contingency)</t>
  </si>
  <si>
    <t xml:space="preserve">დარგობრივი ნორმა: 5–10%; სასტუმროსთვის იმპორტით — 10–15%</t>
  </si>
  <si>
    <t xml:space="preserve">შეფასება</t>
  </si>
  <si>
    <t xml:space="preserve">გამოიყენება Total ფურცელზე</t>
  </si>
  <si>
    <t xml:space="preserve">იმპორტის ფრახტი/მოსაკრებელი (EU საქონელი)</t>
  </si>
  <si>
    <t xml:space="preserve">ტიპური დანამატი EU ონლაინ-ფასზე (ფრახტი+განბაჟება)</t>
  </si>
  <si>
    <t xml:space="preserve">ემატება Artemide-ს და LANO ხალიჩას</t>
  </si>
  <si>
    <t xml:space="preserve">მასალის დანაკარგი — პარკეტი (waste)</t>
  </si>
  <si>
    <t xml:space="preserve">სამონტაჟო პრაქტიკა (ჭრა/წუნი 5–10%)</t>
  </si>
  <si>
    <t xml:space="preserve">ემატება პარკეტის რაოდენობას BOQ-ში</t>
  </si>
  <si>
    <t xml:space="preserve">2. ფასების ცნობარი (ერთეულის ფასები, ლარი დღგ-ით)</t>
  </si>
  <si>
    <t xml:space="preserve">დასახელება</t>
  </si>
  <si>
    <t xml:space="preserve">ფასი (₾)</t>
  </si>
  <si>
    <t xml:space="preserve">პარკეტი მუხის მასიური, Exclusive ხარისხი</t>
  </si>
  <si>
    <t xml:space="preserve">კვ.მ</t>
  </si>
  <si>
    <t xml:space="preserve">parketi.ge — Oak Parquet Exclusive</t>
  </si>
  <si>
    <t xml:space="preserve">Rustic 75 ₾ / Select 99 ₾ / Exclusive 140 ₾; სამშრიანი ინჟინრული 179–269 ₾</t>
  </si>
  <si>
    <t xml:space="preserve">პარკეტის დაგება (სამუშაო)</t>
  </si>
  <si>
    <t xml:space="preserve">homeis.ge; ბაზრის დიაპაზონი 25–65 ₾</t>
  </si>
  <si>
    <t xml:space="preserve">კომპანია 30–65 ₾, კერძო ოსტატი 25–60 ₾</t>
  </si>
  <si>
    <t xml:space="preserve">იატაკის ლაქი Bona Mega EVO</t>
  </si>
  <si>
    <t xml:space="preserve">ლიტრი</t>
  </si>
  <si>
    <t xml:space="preserve">bona.com.ge — ოფიც. დისტრიბუტორი (380 ₾ / 5ლ)</t>
  </si>
  <si>
    <t xml:space="preserve">2K Traffic კლასი ~100 ₾/ლ — დერეფნებისთვის</t>
  </si>
  <si>
    <t xml:space="preserve">ფანერა არყის 10მმ, 1525×1525</t>
  </si>
  <si>
    <t xml:space="preserve">ცალი</t>
  </si>
  <si>
    <t xml:space="preserve">ecowood.ge</t>
  </si>
  <si>
    <t xml:space="preserve">8მმ — 29 ₾, 12მმ — 41 ₾</t>
  </si>
  <si>
    <t xml:space="preserve">პლინტუსი MDF თეთრი — მასალა+მონტაჟი+შეღებვა</t>
  </si>
  <si>
    <t xml:space="preserve">მეტრი</t>
  </si>
  <si>
    <t xml:space="preserve">domino.com.ge (მასალა 10–15 ₾/მ) + სამუშაო</t>
  </si>
  <si>
    <t xml:space="preserve">მხოლოდ მასალა 10–15 ₾/მ; 25 ₾ = სრული ღირებულება</t>
  </si>
  <si>
    <t xml:space="preserve">ლოგინის გვერდითა ტუმბო</t>
  </si>
  <si>
    <t xml:space="preserve">veli.store (SONGMICS 2ც — 459.95 ₾); liva.ge 200 ₾</t>
  </si>
  <si>
    <t xml:space="preserve">ძველი ბიუჯეტის 120 ₾ საცალო ფასზე დაბალია</t>
  </si>
  <si>
    <t xml:space="preserve">ტელევიზორის სადგამი მაგიდა</t>
  </si>
  <si>
    <t xml:space="preserve">liva.ge (~200 ₾); embawood.ge</t>
  </si>
  <si>
    <t xml:space="preserve">ნაწილობრივ</t>
  </si>
  <si>
    <t xml:space="preserve">დიაპაზონი 200–450 ₾</t>
  </si>
  <si>
    <t xml:space="preserve">დუში დიდი (ზედა შხაპი 250მმ)</t>
  </si>
  <si>
    <t xml:space="preserve">domino.com.ge — AM.PM Like 250×250</t>
  </si>
  <si>
    <t xml:space="preserve">Rubineta 131 ₾; Grohe სისტემა 599–959 ₾</t>
  </si>
  <si>
    <t xml:space="preserve">დუში პატარა (ხელის, Grohe კომპლექტი)</t>
  </si>
  <si>
    <t xml:space="preserve">domino.com.ge — Grohe Vitalio Comfort ბარით</t>
  </si>
  <si>
    <t xml:space="preserve">ყურმილი ცალკე 63–103 ₾ (gorgia.ge); ძველი 300 ₾ — ~2×-ით მაღალი</t>
  </si>
  <si>
    <t xml:space="preserve">შემრევი ონკანი (Grohe Get)</t>
  </si>
  <si>
    <t xml:space="preserve">gorgia.ge — Grohe Get 23454000 (305.50 ₾)</t>
  </si>
  <si>
    <t xml:space="preserve">StartEdge 187 ₾, Eurosmart S 254 ₾, Get 306–379 ₾</t>
  </si>
  <si>
    <t xml:space="preserve">ARTEMIDE სანათი დიდი (Tolomeo Terra)</t>
  </si>
  <si>
    <t xml:space="preserve">light11.eu 488 € (RRP 610 €) + ფრახტი 10%</t>
  </si>
  <si>
    <t xml:space="preserve">გადამოწმებული (EU)</t>
  </si>
  <si>
    <t xml:space="preserve">EU ფასი × EUR კურსი × (1+ფრახტი); LED ვერსია 644 €</t>
  </si>
  <si>
    <t xml:space="preserve">ARTEMIDE სანათი პატარა (Tolomeo Micro Parete)</t>
  </si>
  <si>
    <t xml:space="preserve">light11.eu 282 € + ფრახტი 10%</t>
  </si>
  <si>
    <t xml:space="preserve">ძველი ბიუჯეტის 633 ₾ დღეს 10–20%-ით ნაკლებია რეალურზე</t>
  </si>
  <si>
    <t xml:space="preserve">კარი ოთახის (MDF ბლოკი კოლოფით + ფურნიტურა)</t>
  </si>
  <si>
    <t xml:space="preserve">domino.com.ge — KMF 649–699 ₾ + სახელური/საკეტი ~50–150 ₾</t>
  </si>
  <si>
    <t xml:space="preserve">პრემიუმ Terminus 1029–1499 ₾</t>
  </si>
  <si>
    <t xml:space="preserve">კარი აბაზანის (700მმ, ტენმედეგი PVC-MDF)</t>
  </si>
  <si>
    <t xml:space="preserve">domino.com.ge — Flydoors LA STELLA</t>
  </si>
  <si>
    <t xml:space="preserve">ეკონომ 179–199 ₾; KMF 649 ₾</t>
  </si>
  <si>
    <t xml:space="preserve">სამღებრო სამუშაოები (მოშპაკვლა+შეღებვა)</t>
  </si>
  <si>
    <t xml:space="preserve">remonti-mshenebloba.ge; euroremonti.ge; servisebi.ge</t>
  </si>
  <si>
    <t xml:space="preserve">დიაპაზონი 12–20 ₾/კვ.მ; 20 ₾ = სასტუმროს ხარისხი სრული მომზადებით</t>
  </si>
  <si>
    <t xml:space="preserve">საღებავი StoColor In (ინტერიერის)</t>
  </si>
  <si>
    <t xml:space="preserve">sto.ge (ფასი მოთხოვნით); EU საცალო ~15–18 ₾/ლ + იმპორტი</t>
  </si>
  <si>
    <t xml:space="preserve">უსაფრთხო საბიუჯეტო ფასი საქართველოსთვის 20–28 ₾/ლ</t>
  </si>
  <si>
    <t xml:space="preserve">ხალიჩა LANO (სასტუმროს კლასი, 19 €/კვ.მ)</t>
  </si>
  <si>
    <t xml:space="preserve">LANO — საპროექტო იმპორტი; domino.com.ge ბელგიური 10.5–119 ₾</t>
  </si>
  <si>
    <t xml:space="preserve">19 € × EUR კურსი × (1+ფრახტი)</t>
  </si>
  <si>
    <t xml:space="preserve">ხალიჩის დაგება (სამუშაო)</t>
  </si>
  <si>
    <t xml:space="preserve">gurus.ge (ლამინატი 10–25 ₾ — პროქსი)</t>
  </si>
  <si>
    <t xml:space="preserve">წებოზე დაგება ≤ ლამინატის ტარიფი</t>
  </si>
  <si>
    <t xml:space="preserve">სარკე ზომაზე ჭრით + მონტაჟი</t>
  </si>
  <si>
    <t xml:space="preserve">serwish.ge (მასალა 40–50 ₾-დან; დამუშავება+მონტაჟი)</t>
  </si>
  <si>
    <t xml:space="preserve">რეალური სრული ფასი თბილისში 100–180 ₾/კვ.მ</t>
  </si>
  <si>
    <t xml:space="preserve">სამშენებლო ნაგვის გატანა</t>
  </si>
  <si>
    <t xml:space="preserve">მ³</t>
  </si>
  <si>
    <t xml:space="preserve">demontaji.ge — 2026 წლის ტარიფი</t>
  </si>
  <si>
    <t xml:space="preserve">პარკეტის აყრა ცალკე — 2 ₾/კვ.მ</t>
  </si>
  <si>
    <t xml:space="preserve">მოციკლოვება + გალაქვა (სამუშაო)</t>
  </si>
  <si>
    <t xml:space="preserve">shop.glimtrex.ge (გერმანული აპარატი)</t>
  </si>
  <si>
    <t xml:space="preserve">სრული ციკლი მასალით 40–45 ₾/კვ.მ</t>
  </si>
  <si>
    <t xml:space="preserve">ლეგენდა: ლურჯი — შესაყვანი მონაცემი/ფაქტი · შავი — ფორმულა · მწვანე — ბმული სხვა ფურცელზე · ყვითელი ფონი — საკვანძო დაშვება.</t>
  </si>
  <si>
    <t xml:space="preserve">STANDARD ROOM — ერთი ოთახის ხარჯთაღრიცხვა</t>
  </si>
  <si>
    <t xml:space="preserve">ფასები: ლარი, დღგ-ით — წყაროები ფურცელზე „დაშვებები“ და „წყაროები“.</t>
  </si>
  <si>
    <t xml:space="preserve">რაოდ.</t>
  </si>
  <si>
    <t xml:space="preserve">ერთ. ფასი (₾)</t>
  </si>
  <si>
    <t xml:space="preserve">ღირებულება (₾)</t>
  </si>
  <si>
    <t xml:space="preserve">პარკეტის დაგება</t>
  </si>
  <si>
    <t xml:space="preserve">ოთახის ფართობი</t>
  </si>
  <si>
    <t xml:space="preserve">პარკეტი მუხის Exclusive</t>
  </si>
  <si>
    <t xml:space="preserve">ფართობი + 7% დანაკარგი</t>
  </si>
  <si>
    <t xml:space="preserve">ლაქი იატაკის Bona Mega EVO</t>
  </si>
  <si>
    <t xml:space="preserve">ფანერა არყის 10მმ</t>
  </si>
  <si>
    <t xml:space="preserve">პლინტუსი MDF (მასალა+მონტაჟი+შეღებვა)</t>
  </si>
  <si>
    <t xml:space="preserve">ლოგინის გვერდითა ტუმბოები</t>
  </si>
  <si>
    <t xml:space="preserve">დუში დიდი (250მმ)</t>
  </si>
  <si>
    <t xml:space="preserve">დუში პატარა (ხელის)</t>
  </si>
  <si>
    <t xml:space="preserve">შემრევი ონკანი Grohe</t>
  </si>
  <si>
    <t xml:space="preserve">ARTEMIDE სანათი დიდი</t>
  </si>
  <si>
    <t xml:space="preserve">EUR ფასი — კურსზეა მიბმული</t>
  </si>
  <si>
    <t xml:space="preserve">ARTEMIDE სანათი პატარა</t>
  </si>
  <si>
    <t xml:space="preserve">კარი ოთახის</t>
  </si>
  <si>
    <t xml:space="preserve">კარი აბაზანის</t>
  </si>
  <si>
    <t xml:space="preserve">სამღებრო სამუშაოები</t>
  </si>
  <si>
    <t xml:space="preserve">კედლები+ჭერი</t>
  </si>
  <si>
    <t xml:space="preserve">საღებავი StoColor</t>
  </si>
  <si>
    <t xml:space="preserve">ძველ ფაილში ეს სტრიქონი ჯამში არ იყო ჩართული — გასწორებულია</t>
  </si>
  <si>
    <t xml:space="preserve">ჯამი</t>
  </si>
  <si>
    <t xml:space="preserve">×14 ოთახი — იხ. ფურცელი „Total“.</t>
  </si>
  <si>
    <t xml:space="preserve">EXECUTIVE ROOM — ერთი ოთახის ხარჯთაღრიცხვა</t>
  </si>
  <si>
    <t xml:space="preserve">×4 ოთახი — იხ. ფურცელი „Total“.</t>
  </si>
  <si>
    <t xml:space="preserve">CORRIDOR — დერეფნის ხარჯთაღრიცხვა</t>
  </si>
  <si>
    <t xml:space="preserve">ხალიჩა LANO (19 €/კვ.მ)</t>
  </si>
  <si>
    <t xml:space="preserve">EUR კურსზეა მიბმული</t>
  </si>
  <si>
    <t xml:space="preserve">ხალიჩის დაგება</t>
  </si>
  <si>
    <t xml:space="preserve">სრული განახლების საპროგნოზო ბიუჯეტი — მე-19 სართული</t>
  </si>
  <si>
    <t xml:space="preserve">14 standard + 4 executive + დერეფანი. ფასები: ლარი, დღგ-ით, 13.08.2026.</t>
  </si>
  <si>
    <t xml:space="preserve">standard room</t>
  </si>
  <si>
    <t xml:space="preserve">ოთახი</t>
  </si>
  <si>
    <t xml:space="preserve">executive room</t>
  </si>
  <si>
    <t xml:space="preserve">corridor</t>
  </si>
  <si>
    <t xml:space="preserve">კომპლ.</t>
  </si>
  <si>
    <t xml:space="preserve">სამშენებლო ნაგვის გატანა (დემონტაჟის ნარჩენი)</t>
  </si>
  <si>
    <t xml:space="preserve">შეფასება: ~0.05 მ³/კვ.მ დემონტაჟის ნარჩენი; ტარიფი demontaji.ge</t>
  </si>
  <si>
    <t xml:space="preserve">შუალედური ჯამი</t>
  </si>
  <si>
    <t xml:space="preserve">იხ. დაშვება N4 — დარგობრივი ნორმა</t>
  </si>
  <si>
    <t xml:space="preserve">სულ ჯამი (GRAND TOTAL)</t>
  </si>
  <si>
    <t xml:space="preserve">დღგ ჩათვლით</t>
  </si>
  <si>
    <t xml:space="preserve">ექვივალენტი EUR</t>
  </si>
  <si>
    <t xml:space="preserve">NBG კურსით 13.08.2026</t>
  </si>
  <si>
    <t xml:space="preserve">შენიშვნა: ძველი ვერსიის ჯამი იყო 216,216 ₾. სხვაობა აიხსნება: ნაგვის გატანა (ადრე საერთოდ არ იყო), 10% გაუთვალისწინებელი ხარჯი, standard ოთახის საღებავის სტრიქონი (ადრე ჯამში არ შედიოდა) და ერთეულის ფასების განახლება 13.08.2026 ბაზარზე.</t>
  </si>
  <si>
    <t xml:space="preserve">შესრულებული და მიმდინარე სამუშაოები (ფაქტი/ვალდებულებები)</t>
  </si>
  <si>
    <t xml:space="preserve">IN-HOUSE = სასტუმროს პერსონალი — ფულადი ხარჯი 0 ₾. PAID სტრიქონები — ფაქტობრივი (ისტორიული) ფასები.</t>
  </si>
  <si>
    <t xml:space="preserve">სამუშაოს დასახელება</t>
  </si>
  <si>
    <t xml:space="preserve">ერთ. ღირ. (₾)</t>
  </si>
  <si>
    <t xml:space="preserve">გადახდა</t>
  </si>
  <si>
    <t xml:space="preserve">თეთრი პანელების დაშპაკვლა, შეღებვა</t>
  </si>
  <si>
    <t xml:space="preserve">—</t>
  </si>
  <si>
    <t xml:space="preserve">IN-HOUSE</t>
  </si>
  <si>
    <t xml:space="preserve">IN PROCESS</t>
  </si>
  <si>
    <t xml:space="preserve">მაგიდების, კარადების, ნალიშნიკების შეღებვა</t>
  </si>
  <si>
    <t xml:space="preserve">ც.</t>
  </si>
  <si>
    <t xml:space="preserve">სილიკონის მოჭრა, დაფუგვა აბაზანის</t>
  </si>
  <si>
    <t xml:space="preserve">DONE</t>
  </si>
  <si>
    <t xml:space="preserve">ჭერის ჩამოჭრა</t>
  </si>
  <si>
    <t xml:space="preserve">შეღებვა აბაზანის და ნომრის ჭერის</t>
  </si>
  <si>
    <t xml:space="preserve">ნომ.</t>
  </si>
  <si>
    <t xml:space="preserve">აქსესუარების გადამაგრება ნომერში</t>
  </si>
  <si>
    <t xml:space="preserve">ხელსაბანის ნიჟარის პანელების გალაქვა</t>
  </si>
  <si>
    <t xml:space="preserve">დერეფნის შეღებვა</t>
  </si>
  <si>
    <t xml:space="preserve">ხალიჩის აღება</t>
  </si>
  <si>
    <t xml:space="preserve">სართ.</t>
  </si>
  <si>
    <t xml:space="preserve">UNPAID</t>
  </si>
  <si>
    <t xml:space="preserve">ფიქსირებული შეთანხმებული ფასი (მე-19 სართული)</t>
  </si>
  <si>
    <t xml:space="preserve">ფანკოილის ძრავების შეცვლა</t>
  </si>
  <si>
    <t xml:space="preserve">კონდენსატორების შეცვლა</t>
  </si>
  <si>
    <t xml:space="preserve">მინი ბარების უკან ამოჭრა და გაწმენდა</t>
  </si>
  <si>
    <t xml:space="preserve">იმპულსორების გადამოწმება, ელექტროობის</t>
  </si>
  <si>
    <t xml:space="preserve">იატაკის მოციკლოვება, გალაქვა</t>
  </si>
  <si>
    <t xml:space="preserve">პარკეტის დაფის იატაკის დემონტაჟი (1901; 1902; 1907; 1909; 1910; 1916; 1918; 1919)</t>
  </si>
  <si>
    <t xml:space="preserve">PAID</t>
  </si>
  <si>
    <t xml:space="preserve">ფაქტი: 500 ₾ კონტრაქტი (≈3.1 ₾/კვ.მ; ბაზარი 2 ₾/კვ.მ — demontaji.ge)</t>
  </si>
  <si>
    <t xml:space="preserve">პლინტუსის შეღებვა</t>
  </si>
  <si>
    <t xml:space="preserve">მარაცის ქვის დაგება</t>
  </si>
  <si>
    <t xml:space="preserve">ფაქტი; ბაზარი: სტანდარტი 30–60 ₾, პრემიუმ მარმარილო ~80 ₾ (servisebi.ge)</t>
  </si>
  <si>
    <t xml:space="preserve">მაგიდის დემონტაჟი, მონტაჟი</t>
  </si>
  <si>
    <t xml:space="preserve">ფანჯრების შემოწმება, შეკეთება</t>
  </si>
  <si>
    <t xml:space="preserve">საფარდე კარნიზის გადამაგრება</t>
  </si>
  <si>
    <t xml:space="preserve">კარადის კარის პეტლების შეკეთება</t>
  </si>
  <si>
    <t xml:space="preserve">ფანკოილის რადიატორის გაწმენდა</t>
  </si>
  <si>
    <t xml:space="preserve">სამსვლიანების დაზეთვა</t>
  </si>
  <si>
    <t xml:space="preserve">სალნიკების შეცვლა</t>
  </si>
  <si>
    <t xml:space="preserve">პარკეტის აღება აბაზანაში</t>
  </si>
  <si>
    <t xml:space="preserve">რაოდ. — იხ. „განზომილებები“ (34.8 კვ.მ); შიდა რესურსით</t>
  </si>
  <si>
    <t xml:space="preserve">ნომრის და აბაზანის კარის დემონტაჟი, მონტაჟი</t>
  </si>
  <si>
    <t xml:space="preserve">კარის (209×83×4.5სმ) დაშპონვა, შეღებვა (რესტავრაცია)</t>
  </si>
  <si>
    <t xml:space="preserve">ფაქტობრივი კონტრაქტი; ბაზრის ორიენტირი სრული რესტავრაცია 250–500 ₾/კარი</t>
  </si>
  <si>
    <t xml:space="preserve">კარის (209×70×4.5სმ) შეღებვა, რესტავრაცია</t>
  </si>
  <si>
    <t xml:space="preserve">ფაქტობრივი კონტრაქტი</t>
  </si>
  <si>
    <t xml:space="preserve">შეღებილი MDF-ის პლინტუსი 15×1.6სმ (მასალა+მონტაჟი)</t>
  </si>
  <si>
    <t xml:space="preserve">ფაქტი</t>
  </si>
  <si>
    <t xml:space="preserve">იატაკის დაგება (ფანერის და პარკეტის მონტაჟი)</t>
  </si>
  <si>
    <t xml:space="preserve">შეთანხმებული 40 ₾/კვ.მ; ბაზარი: მხოლოდ პარკეტი 25–65 ₾</t>
  </si>
  <si>
    <t xml:space="preserve">საწოლის თავთან პანელების გადამაგრება</t>
  </si>
  <si>
    <t xml:space="preserve">მილების შეფუთვა კონდენსატისთვის</t>
  </si>
  <si>
    <t xml:space="preserve">სიფონის გაწმენდა</t>
  </si>
  <si>
    <t xml:space="preserve">უნიტაზის რეზინის შეცვლა</t>
  </si>
  <si>
    <t xml:space="preserve">გერმეტიული სანათების მოხსნა, გაწმენდა</t>
  </si>
  <si>
    <t xml:space="preserve">შხაპის კაბინის დამზადება (1901)</t>
  </si>
  <si>
    <t xml:space="preserve">შეთანხმებული ≈800 ₾ (300 ₾/კვ.მ × 2.66 კვ.მ)</t>
  </si>
  <si>
    <t xml:space="preserve">გატეხილი სარკეების შეცვლა</t>
  </si>
  <si>
    <t xml:space="preserve">შეფასება ინვოისამდე: 140 ₾/კვ.მ × 10.84 კვ.მ (serwish.ge); ძველში — „ინვოისს ველოდებით“</t>
  </si>
  <si>
    <t xml:space="preserve">ჯამის გაშლა სტატუსების მიხედვით</t>
  </si>
  <si>
    <t xml:space="preserve">გადახდილი (PAID)</t>
  </si>
  <si>
    <t xml:space="preserve">გადასახდელი (UNPAID)</t>
  </si>
  <si>
    <t xml:space="preserve">შიდა რესურსით (IN-HOUSE) — ფულადი ხარჯის გარეშე</t>
  </si>
  <si>
    <t xml:space="preserve">დასრულებული (DONE)</t>
  </si>
  <si>
    <t xml:space="preserve">მიმდინარე (IN PROCESS)</t>
  </si>
  <si>
    <t xml:space="preserve">მასალები (შესყიდვები — ფაქტი და შეფასებები)</t>
  </si>
  <si>
    <t xml:space="preserve">PAID სტრიქონები — ფაქტობრივი ფასები; ცარიელი სტატუსით — შეფასება ბაზრის ფასით (13.08.2026).</t>
  </si>
  <si>
    <t xml:space="preserve">მასალის დასახელება</t>
  </si>
  <si>
    <t xml:space="preserve">წყარო / შენიშვნა</t>
  </si>
  <si>
    <t xml:space="preserve">თაბაშირმუყაო</t>
  </si>
  <si>
    <t xml:space="preserve">ფაქტი; ბაზარი: Knauf სტანდ. 15 ₾, ტენმედეგი 22.6 ₾ (domino.com.ge)</t>
  </si>
  <si>
    <t xml:space="preserve">შურუფი 2×5</t>
  </si>
  <si>
    <t xml:space="preserve">ყუთი</t>
  </si>
  <si>
    <t xml:space="preserve">შურუფი 3×5</t>
  </si>
  <si>
    <t xml:space="preserve">ცელოფანი</t>
  </si>
  <si>
    <t xml:space="preserve">რულონი</t>
  </si>
  <si>
    <t xml:space="preserve">ბაზარი 6–27 ₾/რულონი</t>
  </si>
  <si>
    <t xml:space="preserve">კუთხოვანა თაბაშირმუყაოს კუთხისთვის</t>
  </si>
  <si>
    <t xml:space="preserve">საფითხნი Knauf (სუფთა პირი)</t>
  </si>
  <si>
    <t xml:space="preserve">ტომარა</t>
  </si>
  <si>
    <t xml:space="preserve">ბაზარი: Fugagips 25კგ 20.35 ₾ (gorgia.ge)</t>
  </si>
  <si>
    <t xml:space="preserve">სავარძლის და პუფის ქეჩები</t>
  </si>
  <si>
    <t xml:space="preserve">მეშოკი</t>
  </si>
  <si>
    <t xml:space="preserve">მაკლავიცა დიდი იზოლაციისთვის</t>
  </si>
  <si>
    <t xml:space="preserve">ქაღალდის სკოჩი</t>
  </si>
  <si>
    <t xml:space="preserve">ბაზარი 3–8 ₾ (domino.com.ge); რაოდენობა დასაზუსტებელია</t>
  </si>
  <si>
    <t xml:space="preserve">ფილტრები ემლაიმიდან</t>
  </si>
  <si>
    <t xml:space="preserve">თეთრი საღებავი პანელისთვის (2.5 კგ)</t>
  </si>
  <si>
    <t xml:space="preserve">მაგიდების შავი საღებავი (2-კომპონენტიანი)</t>
  </si>
  <si>
    <t xml:space="preserve">კგ</t>
  </si>
  <si>
    <t xml:space="preserve">შეფასება: 2K საღებავი ~36–60 ₾/ლ (grandmall.ge Novakril 2K); ძველში — „ველოდებით ფასს“</t>
  </si>
  <si>
    <t xml:space="preserve">გერმანული აპარატის შკურკა 40-იანი</t>
  </si>
  <si>
    <t xml:space="preserve">ბაზარი: ზოგადი 1.05–1.95 ₾, Festool-კლასი ~4–5.5 ₾</t>
  </si>
  <si>
    <t xml:space="preserve">გერმანული აპარატის შკურკა 60-იანი</t>
  </si>
  <si>
    <t xml:space="preserve">გერმანული აპარატის შკურკა 80-იანი</t>
  </si>
  <si>
    <t xml:space="preserve">გერმანული აპარატის შკურკა 120-იანი</t>
  </si>
  <si>
    <t xml:space="preserve">სმესი შპაკლი</t>
  </si>
  <si>
    <t xml:space="preserve">ბალონი</t>
  </si>
  <si>
    <t xml:space="preserve">პარანიტის სალნიკები 20-ანი ფირატის</t>
  </si>
  <si>
    <t xml:space="preserve">სილიკონი Würth გამჭვირვალე (SILSEAL 310მლ)</t>
  </si>
  <si>
    <t xml:space="preserve">ფაქტი; მიმდინარე ფასი 32 ₾ (shop.wurth.com.ge)</t>
  </si>
  <si>
    <t xml:space="preserve">დანა</t>
  </si>
  <si>
    <t xml:space="preserve">ბაზარი 1.75–9.95 ₾</t>
  </si>
  <si>
    <t xml:space="preserve">პირები</t>
  </si>
  <si>
    <t xml:space="preserve">ბაზარი 1.85–4.5 ₾/10ც</t>
  </si>
  <si>
    <t xml:space="preserve">ზეთი სპრეი (პეტლებისთვის)</t>
  </si>
  <si>
    <t xml:space="preserve">ჟანგის მოსაშორებელი სპრეი WD-40</t>
  </si>
  <si>
    <t xml:space="preserve">ფაქტი; მიმდინარე: 400მლ 18.1 ₾ (domino), 200მლ 15.2 ₾ (gorgia)</t>
  </si>
  <si>
    <t xml:space="preserve">იზოლენტა</t>
  </si>
  <si>
    <t xml:space="preserve">ბაზარი 0.7–3.4 ₾</t>
  </si>
  <si>
    <t xml:space="preserve">ჟანგის მოსაცილებელი</t>
  </si>
  <si>
    <t xml:space="preserve">დეკორის გრძელბეწვიანი სატკეპნი</t>
  </si>
  <si>
    <t xml:space="preserve">ჩოთქები 5-ანი</t>
  </si>
  <si>
    <t xml:space="preserve">ბაზარი 2.5–5.95 ₾ (Color Expert)</t>
  </si>
  <si>
    <t xml:space="preserve">იახტლაქი (შუშის ძირების და პადონისთვის)</t>
  </si>
  <si>
    <t xml:space="preserve">ფაქტი — პრემიუმ კლასი; ბაზარი 24–50 ₾/კგ (gorgia, grandmall)</t>
  </si>
  <si>
    <t xml:space="preserve">პატარა სატკეპნის პირები (დაბალი ბეწვით)</t>
  </si>
  <si>
    <t xml:space="preserve">ფანკოილის მილების შესაფუთი ქეჩები (25-ანი)</t>
  </si>
  <si>
    <t xml:space="preserve">შავი შესაფუთზე დასახვევი იზოლაცია</t>
  </si>
  <si>
    <t xml:space="preserve">იმპულსური რელეები</t>
  </si>
  <si>
    <t xml:space="preserve">EU ფასი 47–62 ₾ + იმპორტი → 60–110 ₾; 75 ₾ რეალისტურია</t>
  </si>
  <si>
    <t xml:space="preserve">წებო ცემენტი Kerakoll</t>
  </si>
  <si>
    <t xml:space="preserve">იტალიური საცალო ≈38–39 ₾; დილერი — Espano (espano.ge)</t>
  </si>
  <si>
    <t xml:space="preserve">ლაქი პრიალა (აეროზოლი)</t>
  </si>
  <si>
    <t xml:space="preserve">ფაქტი; ⚠ ბაზარი: აეროზოლი 20–32 ₾ (Novol 23 ₾, 17 ₾ 6+ ც.) — მომავალში დიდი ეკონომიაა შესაძლებელი</t>
  </si>
  <si>
    <t xml:space="preserve">იზოლაცია Kerakoll (ჰიდროიზოლაცია 20კგ)</t>
  </si>
  <si>
    <t xml:space="preserve">UK საცალო £67–73 ≈ 235–255 ₾ — ფასი რეალისტურია</t>
  </si>
  <si>
    <t xml:space="preserve">პეპელა 4-ანი საფარდისთვის (რკინის)</t>
  </si>
  <si>
    <t xml:space="preserve">პროფილი UD</t>
  </si>
  <si>
    <t xml:space="preserve">Akfix თეთრი სილიკონი</t>
  </si>
  <si>
    <t xml:space="preserve">ბაზარი 12.5 ₾ (goodbuild.ge); რაოდენობა დაემატება</t>
  </si>
  <si>
    <t xml:space="preserve">Sista გამჭვირვალე სილიკონი</t>
  </si>
  <si>
    <t xml:space="preserve">ფაქტი; მიმდინარე ბაზარი 12.2–14 ₾ — მომავალში ეკონომია</t>
  </si>
  <si>
    <t xml:space="preserve">აბაზანის ნიჟარის სიფონი</t>
  </si>
  <si>
    <t xml:space="preserve">შეკვეთილია; ალტერნატივა: Geberit 87 ₾ (gorgia.ge) — ეკონომია ~270 ₾</t>
  </si>
  <si>
    <t xml:space="preserve">ფიცარი (ლისტვენიცა, 2-იანი სიგანე)</t>
  </si>
  <si>
    <t xml:space="preserve">პარკეტის ფანერა (8-ანი)</t>
  </si>
  <si>
    <t xml:space="preserve">ბაზარი: არყის 8მმ 29 ₾ (ecowood.ge)</t>
  </si>
  <si>
    <t xml:space="preserve">დუბელ-შურუფი (10-ანი)</t>
  </si>
  <si>
    <t xml:space="preserve">ბაზარი 0.7–2.5 ₾</t>
  </si>
  <si>
    <t xml:space="preserve">სომხური პევეა (17-18 ლ)</t>
  </si>
  <si>
    <t xml:space="preserve">ბაზარი: Crown (სომხეთი) 17კგ 170 ₾ (domino.com.ge)</t>
  </si>
  <si>
    <t xml:space="preserve">სვერლო პატარა პერფორატორისთვის (10-ანი)</t>
  </si>
  <si>
    <t xml:space="preserve">ნაგვის დიდი ტომარა</t>
  </si>
  <si>
    <t xml:space="preserve">ფაქტი; მიმდინარე 240ლ გამძლე 1.1–2.5 ₾/ც — მომავალ შესყიდვაში გაითვალისწინეთ</t>
  </si>
  <si>
    <t xml:space="preserve">აგური შხაპის ძირისთვის</t>
  </si>
  <si>
    <t xml:space="preserve">რეზინის შუასადები სიფონისთვის</t>
  </si>
  <si>
    <t xml:space="preserve">ცემენტი (25კგ)</t>
  </si>
  <si>
    <t xml:space="preserve">ფაქტი; მიმდინარე: Heidelberg M300 8.8–9.1 ₾</t>
  </si>
  <si>
    <t xml:space="preserve">ყვითელი საჩხერის ქვიშა</t>
  </si>
  <si>
    <t xml:space="preserve">ბაზარი 2.5 ₾/ტომარა</t>
  </si>
  <si>
    <t xml:space="preserve">ხალიჩა სართულისთვის (~134 კვ.მ, 19 €/კვ.მ)</t>
  </si>
  <si>
    <t xml:space="preserve">ფაქტობრივი გადახდა 7,600 ₾; დღევანდელი კურსით იქნებოდა ≈8,459 ₾ (63.13 ₾/კვ.მ)</t>
  </si>
  <si>
    <t xml:space="preserve">სმესი</t>
  </si>
  <si>
    <t xml:space="preserve">ფასი შევსებულია №17-ის ანალოგიით</t>
  </si>
  <si>
    <t xml:space="preserve">პატარა პერფორატორის 10-ანი სვერლო</t>
  </si>
  <si>
    <t xml:space="preserve">შეფასება №46-ის ფაქტით</t>
  </si>
  <si>
    <t xml:space="preserve">შეფასება №29-ის ფაქტით</t>
  </si>
  <si>
    <t xml:space="preserve">2-კომპონენტიანი ფუგა</t>
  </si>
  <si>
    <t xml:space="preserve">შეფასება: Kerakoll Fugabella ≈25–30 ₾/კგ (espano.ge — ფასი მოთხოვნით)</t>
  </si>
  <si>
    <t xml:space="preserve">პატარა ბალგარკის დიდი შკურკის ფხრიწი</t>
  </si>
  <si>
    <t xml:space="preserve">შეფასება: ბაზარი 1.05–5.5 ₾</t>
  </si>
  <si>
    <t xml:space="preserve">ნათურა 12W თბილი ნათებით</t>
  </si>
  <si>
    <t xml:space="preserve">V-TAC/Philips კლასი 19–26 ₾; ეკონომ Ledolet 4.4 ₾ (domino.com.ge)</t>
  </si>
  <si>
    <t xml:space="preserve">ლურსმანი</t>
  </si>
  <si>
    <t xml:space="preserve">შეფასება — საბაზრო ფასი</t>
  </si>
  <si>
    <t xml:space="preserve">შურუფი 35-ანი</t>
  </si>
  <si>
    <t xml:space="preserve">Knauf TN35 1000ც: 31 ₾ (kshop.ge ოფიც.), 18.65 ₾ (keremont.ge)</t>
  </si>
  <si>
    <t xml:space="preserve">შურუფი 40-ანი</t>
  </si>
  <si>
    <t xml:space="preserve">შეფასება TN35-ის ანალოგიით</t>
  </si>
  <si>
    <t xml:space="preserve">ფუგა შავი 1-კომპონენტიანი</t>
  </si>
  <si>
    <t xml:space="preserve">გადასახდელი / ჯერ შეუსყიდავი (შეფასება)</t>
  </si>
  <si>
    <t xml:space="preserve">პერფორატორი DeWalt პატარა (D25133K, SDS-Plus)</t>
  </si>
  <si>
    <t xml:space="preserve">ოფიც. ფასი dewaltshop.ge (13.08.2026); ძველ ბიუჯეტში 695 ₾ — ეკონომია 250 ₾</t>
  </si>
  <si>
    <t xml:space="preserve">პერფორატორი DeWalt დიდი (D25733K, SDS-Max)</t>
  </si>
  <si>
    <t xml:space="preserve">ოფიც. ფასი dewaltshop.ge, მარაგშია; ძველში 2,990 ₾ — ეკონომია 595 ₾</t>
  </si>
  <si>
    <t xml:space="preserve">პიკა პატარა პერფორატორისთვის (ბეტონის ასაფხეკი)</t>
  </si>
  <si>
    <t xml:space="preserve">ფაქტი; მიმდინარე ბაზარი: Raider 4.8–11 ₾, DeWalt SDS-Max 19–30 ₾</t>
  </si>
  <si>
    <t xml:space="preserve">შემსრულებლები (გუნდები/ოსტატები)</t>
  </si>
  <si>
    <t xml:space="preserve">ზოგი პოზიცია უკვე ასახულია „სამუშაო“ ფურცელში — ჯამში ორმაგად არ ითვლება.</t>
  </si>
  <si>
    <t xml:space="preserve">შემსრულებელი</t>
  </si>
  <si>
    <t xml:space="preserve">საგანი</t>
  </si>
  <si>
    <t xml:space="preserve">დღეები</t>
  </si>
  <si>
    <t xml:space="preserve">სამუშაო ცხრილში?</t>
  </si>
  <si>
    <t xml:space="preserve">ლომსაძე დ.</t>
  </si>
  <si>
    <t xml:space="preserve">ნომრებში ხის იატაკის დემონტაჟი</t>
  </si>
  <si>
    <t xml:space="preserve">კი — სამუშაო №16</t>
  </si>
  <si>
    <t xml:space="preserve">იგივე 500 ₾ კონტრაქტი</t>
  </si>
  <si>
    <t xml:space="preserve">მურვანიძე კ.</t>
  </si>
  <si>
    <t xml:space="preserve">აბაზანის იატაკის დემონტაჟი, აბაზანის ჭერის შეღებვა</t>
  </si>
  <si>
    <t xml:space="preserve">არა</t>
  </si>
  <si>
    <t xml:space="preserve">მალიარის დამხმარე</t>
  </si>
  <si>
    <t xml:space="preserve">ჯანგიძე გ.</t>
  </si>
  <si>
    <t xml:space="preserve">დურგალი (პადონის და შუშის ძირების შეცვლა)</t>
  </si>
  <si>
    <t xml:space="preserve">ხალიჩის დაგება (მე-19 სართული)</t>
  </si>
  <si>
    <t xml:space="preserve">კი — სამუშაო №10</t>
  </si>
  <si>
    <t xml:space="preserve">იგივე 1,000 ₾ კონტრაქტი</t>
  </si>
  <si>
    <t xml:space="preserve">მიშა</t>
  </si>
  <si>
    <t xml:space="preserve">ფანჯრების სახელურების შემოწმება, შეკეთება</t>
  </si>
  <si>
    <t xml:space="preserve">კი — სამუშაო №20</t>
  </si>
  <si>
    <t xml:space="preserve">იგივე 400 ₾ კონტრაქტი</t>
  </si>
  <si>
    <t xml:space="preserve">აქედან უკვე „სამუშაო“ ცხრილშია</t>
  </si>
  <si>
    <t xml:space="preserve">დამატებით ასახული ჯამურ ბიუჯეტში</t>
  </si>
  <si>
    <t xml:space="preserve">განზომილებები (takeoffs) — იატაკები და სარკეები</t>
  </si>
  <si>
    <t xml:space="preserve">1. ნომრის იატაკი</t>
  </si>
  <si>
    <t xml:space="preserve">ტიპი</t>
  </si>
  <si>
    <t xml:space="preserve">ოთახები</t>
  </si>
  <si>
    <t xml:space="preserve">კვ.მ/ოთახი</t>
  </si>
  <si>
    <t xml:space="preserve">სულ კვ.მ</t>
  </si>
  <si>
    <t xml:space="preserve">ფანერა (ც)</t>
  </si>
  <si>
    <t xml:space="preserve">Executive</t>
  </si>
  <si>
    <t xml:space="preserve">1907; 1910</t>
  </si>
  <si>
    <t xml:space="preserve">Standard</t>
  </si>
  <si>
    <t xml:space="preserve">1901; 1902; 1909; 1916; 1918</t>
  </si>
  <si>
    <t xml:space="preserve">Business</t>
  </si>
  <si>
    <t xml:space="preserve">1919</t>
  </si>
  <si>
    <t xml:space="preserve">2. აბაზანის იატაკი</t>
  </si>
  <si>
    <t xml:space="preserve">1904; 1907; 1910; 1917</t>
  </si>
  <si>
    <t xml:space="preserve">1903; 1906; 1908; 1912; 1916</t>
  </si>
  <si>
    <t xml:space="preserve">1901</t>
  </si>
  <si>
    <t xml:space="preserve">3. სარკეების შეცვლა</t>
  </si>
  <si>
    <t xml:space="preserve">ზომა (მ)</t>
  </si>
  <si>
    <t xml:space="preserve">1902; 1909</t>
  </si>
  <si>
    <t xml:space="preserve">1.14 × 2.42</t>
  </si>
  <si>
    <t xml:space="preserve">1901; 1916</t>
  </si>
  <si>
    <t xml:space="preserve">1.10 × 2.42</t>
  </si>
  <si>
    <t xml:space="preserve">წყაროები — ფასების გადამოწმება (ბიბლიოგრაფია)</t>
  </si>
  <si>
    <t xml:space="preserve">ყველა წყარო შემოწმდა 13.08.2026. „გადამოწმებული“ = ფასი ნანახია ცოცხალ გვერდზე; „შეფასება“ = მიახლოება შედარებადი პოზიციებით.</t>
  </si>
  <si>
    <t xml:space="preserve">კატეგორია</t>
  </si>
  <si>
    <t xml:space="preserve">URL</t>
  </si>
  <si>
    <t xml:space="preserve">რა გადამოწმდა</t>
  </si>
  <si>
    <t xml:space="preserve">მაკრო</t>
  </si>
  <si>
    <t xml:space="preserve">საქართველოს ეროვნული ბანკი</t>
  </si>
  <si>
    <t xml:space="preserve">nbg.gov.ge/gw/api/ct/monetarypolicy/currencies/en/json</t>
  </si>
  <si>
    <t xml:space="preserve">EUR/GEL 3.0205; USD/GEL 2.6181 (13.08.2026)</t>
  </si>
  <si>
    <t xml:space="preserve">Geostat / TradingEconomics</t>
  </si>
  <si>
    <t xml:space="preserve">geostat.ge · tradingeconomics.com/georgia/inflation-cpi</t>
  </si>
  <si>
    <t xml:space="preserve">ინფლაცია ~4.3–5.5%; სამშენებლო ხარჯების ინდექსი</t>
  </si>
  <si>
    <t xml:space="preserve">იატაკი</t>
  </si>
  <si>
    <t xml:space="preserve">parketi.ge</t>
  </si>
  <si>
    <t xml:space="preserve">parketi.ge/en/collections/oak-parquet</t>
  </si>
  <si>
    <t xml:space="preserve">მუხის მასიური პარკეტი: Rustic 75 / Select 99 / Exclusive 140 ₾/კვ.მ; ინჟინრული 179–269 ₾</t>
  </si>
  <si>
    <t xml:space="preserve">ფანერა არყის 1525×1525: 8მმ 29 ₾, 10მმ 34 ₾, 12მმ 41 ₾; მასიური მუხა Extra 179 ₾</t>
  </si>
  <si>
    <t xml:space="preserve">Bona Georgia (ოფიც.)</t>
  </si>
  <si>
    <t xml:space="preserve">bona.com.ge/parketis-laqi/</t>
  </si>
  <si>
    <t xml:space="preserve">ლაქი Bona Mega EVO 380 ₾/5ლ ≈76 ₾/ლ; ხაზი 240–500 ₾</t>
  </si>
  <si>
    <t xml:space="preserve">shop.glimtrex.ge</t>
  </si>
  <si>
    <t xml:space="preserve">shop.glimtrex.ge/ciklovka</t>
  </si>
  <si>
    <t xml:space="preserve">მოციკლოვება 20 ₾/კვ.მ; სრული ციკლი ლაქით 40–45 ₾/კვ.მ</t>
  </si>
  <si>
    <t xml:space="preserve">homeis.ge</t>
  </si>
  <si>
    <t xml:space="preserve">homeis.ge/iatakis-dageba/</t>
  </si>
  <si>
    <t xml:space="preserve">პარკეტის დაგება: კომპანია 30–65 ₾, ოსტატი 25–60 ₾/კვ.მ</t>
  </si>
  <si>
    <t xml:space="preserve">demontaji.ge</t>
  </si>
  <si>
    <t xml:space="preserve">demontaji.ge (2026 ტარიფები)</t>
  </si>
  <si>
    <t xml:space="preserve">პარკეტის აყრა 2 ₾/კვ.მ; ნაგვის გატანა ~370 ₾/მ³</t>
  </si>
  <si>
    <t xml:space="preserve">domino.com.ge</t>
  </si>
  <si>
    <t xml:space="preserve">domino.com.ge — carpeting, mdf-plinth</t>
  </si>
  <si>
    <t xml:space="preserve">ბელგიური ხალიჩა 10.5–119 ₾/კვ.მ; MDF პლინტუსი 10–15.2 ₾/მ</t>
  </si>
  <si>
    <t xml:space="preserve">gurus.ge</t>
  </si>
  <si>
    <t xml:space="preserve">gurus.ge/remonti/laminatis-dageba</t>
  </si>
  <si>
    <t xml:space="preserve">ლამინატის დაგება 10–25 ₾/კვ.მ (ხალიჩის პროქსი)</t>
  </si>
  <si>
    <t xml:space="preserve">სანტექნიკა</t>
  </si>
  <si>
    <t xml:space="preserve">gorgia.ge</t>
  </si>
  <si>
    <t xml:space="preserve">gorgia.ge/ka/grohe/</t>
  </si>
  <si>
    <t xml:space="preserve">Grohe შემრევები 187–306 ₾; ხელის შხაპი 63–103 ₾; Geberit სიფონი 70.5–87 ₾</t>
  </si>
  <si>
    <t xml:space="preserve">domino.com.ge/en/grohe/</t>
  </si>
  <si>
    <t xml:space="preserve">ზედა შხაპი AM.PM 250მმ 389 ₾; Grohe სისტემები 599–1275 ₾; Grohe კომპლექტი 159–180 ₾</t>
  </si>
  <si>
    <t xml:space="preserve">განათება</t>
  </si>
  <si>
    <t xml:space="preserve">light11.eu / AmbienteDirect / smow</t>
  </si>
  <si>
    <t xml:space="preserve">light11.eu · ambientedirect.com · smow.com</t>
  </si>
  <si>
    <t xml:space="preserve">Artemide Tolomeo Terra 488–549 €; Micro/Parete 225–314 €</t>
  </si>
  <si>
    <t xml:space="preserve">კარები</t>
  </si>
  <si>
    <t xml:space="preserve">domino.com.ge — interior-doors</t>
  </si>
  <si>
    <t xml:space="preserve">ოთახის კარი: ეკონომ 149–359 ₾, KMF 649–699 ₾, Terminus 1029–1499 ₾; აბაზანის PVC 359 ₾</t>
  </si>
  <si>
    <t xml:space="preserve">ავეჯი</t>
  </si>
  <si>
    <t xml:space="preserve">veli.store / liva.ge / embawood.ge</t>
  </si>
  <si>
    <t xml:space="preserve">veli.store · liva.ge · embawood.ge</t>
  </si>
  <si>
    <t xml:space="preserve">ტუმბო 200–300 ₾; TV მაგიდა 200–450 ₾</t>
  </si>
  <si>
    <t xml:space="preserve">სარკე</t>
  </si>
  <si>
    <t xml:space="preserve">serwish.ge</t>
  </si>
  <si>
    <t xml:space="preserve">serwish.ge — სარკეები შეკვეთით</t>
  </si>
  <si>
    <t xml:space="preserve">მასალა 40–50 ₾/კვ.მ-დან; სრული (ჭრა+მონტაჟი) 100–180 ₾/კვ.მ</t>
  </si>
  <si>
    <t xml:space="preserve">საღებავი</t>
  </si>
  <si>
    <t xml:space="preserve">Sto Georgia</t>
  </si>
  <si>
    <t xml:space="preserve">sto.ge (ფასი მოთხოვნით)</t>
  </si>
  <si>
    <t xml:space="preserve">StoColor In: EU საცალო ~15–18 ₾/ლ → საქართველოში 20–28 ₾/ლ</t>
  </si>
  <si>
    <t xml:space="preserve">remonti-mshenebloba.ge / euroremonti.ge / servisebi.ge</t>
  </si>
  <si>
    <t xml:space="preserve">remonti-mshenebloba.ge · euroremonti.ge · servisebi.ge</t>
  </si>
  <si>
    <t xml:space="preserve">სამღებრო: შეღებვა 8–15 ₾ + მოშპაკვლა 4–5 ₾ = 12–20 ₾/კვ.მ; ქვის დაგება 30–60 ₾ (პრემიუმ ~80 ₾); კარის რესტავრაცია 120–500 ₾</t>
  </si>
  <si>
    <t xml:space="preserve">gorgia.ge / kshop.ge / keremont.ge</t>
  </si>
  <si>
    <t xml:space="preserve">gorgia.ge · kshop.ge · keremont.ge</t>
  </si>
  <si>
    <t xml:space="preserve">Knauf Fugagips 25კგ 20.35 ₾; შურუფი TN35 1000ც 18.65–31 ₾</t>
  </si>
  <si>
    <t xml:space="preserve">domino.com.ge / nova.ge</t>
  </si>
  <si>
    <t xml:space="preserve">domino.com.ge · nova.ge</t>
  </si>
  <si>
    <t xml:space="preserve">თაბაშირმუყაო Knauf 15 ₾ (ტენმედეგი 22.6 ₾); ცემენტი Heidelberg M300 8.8–9.1 ₾; Crown PVA 17კგ 170 ₾; Soudal სილიკონი 8.3–12.2 ₾</t>
  </si>
  <si>
    <t xml:space="preserve">Espano (Kerakoll-ის დილერი)</t>
  </si>
  <si>
    <t xml:space="preserve">espano.ge/brand/57</t>
  </si>
  <si>
    <t xml:space="preserve">Kerakoll: წებო ≈38–39 ₾ (იტალიური საცალოდან); ჰიდროიზოლაცია 20კგ ≈235–255 ₾</t>
  </si>
  <si>
    <t xml:space="preserve">shop.wurth.com.ge / goodbuild.ge / mihouse.ge</t>
  </si>
  <si>
    <t xml:space="preserve">shop.wurth.com.ge · goodbuild.ge · mihouse.ge</t>
  </si>
  <si>
    <t xml:space="preserve">Würth SILSEAL 32 ₾; Akfix 100E 12.5 ₾; Sista 14 ₾</t>
  </si>
  <si>
    <t xml:space="preserve">grandmall.ge</t>
  </si>
  <si>
    <t xml:space="preserve">აეროზოლური ლაქი Novol 23 ₾ (17 ₾ 6+ ც.); იახტლაქი MOBEL 24–31 ₾/კგ</t>
  </si>
  <si>
    <t xml:space="preserve">dewaltshop.ge (ოფიც. DeWalt)</t>
  </si>
  <si>
    <t xml:space="preserve">dewaltshop.ge</t>
  </si>
  <si>
    <t xml:space="preserve">D25133K 445 ₾; D25733K 2,395 ₾ (მარაგში)</t>
  </si>
  <si>
    <t xml:space="preserve">domino.com.ge — chisels, abrasives</t>
  </si>
  <si>
    <t xml:space="preserve">პიკები: Raider 4.8–11 ₾, DeWalt SDS-Max 18.85–29.7 ₾; შკურკა 1.05–1.95 ₾</t>
  </si>
  <si>
    <t xml:space="preserve">შრომა</t>
  </si>
  <si>
    <t xml:space="preserve">gancxadebebi.ge / worldsalaries.com</t>
  </si>
  <si>
    <t xml:space="preserve">gancxadebebi.ge · worldsalaries.com</t>
  </si>
  <si>
    <t xml:space="preserve">მუშა 60–70 ₾/დღე; კვალიფიციური ოსტატი 100–150 ₾/დღე; Geostat მშენებლობის საშ. ხელფასი ~3,939 ₾/თვე</t>
  </si>
  <si>
    <t xml:space="preserve">ელექტრო</t>
  </si>
  <si>
    <t xml:space="preserve">lasma.eu / profelektro.lv (EU)</t>
  </si>
  <si>
    <t xml:space="preserve">lasma.eu · profelektro.lv</t>
  </si>
  <si>
    <t xml:space="preserve">იმპულსური რელე Acti9 iTL 14.8–19.7 € → 60–110 ₾ იმპორტით (საქ. ლისტინგი არ მოიძებნა)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</si>
</sst>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&quot;≈ &quot;#,##0&quot; €&quot;"/>
    <numFmt numFmtId="167" formatCode="#,##0.00&quot; ₾&quot;"/>
    <numFmt numFmtId="168" formatCode="0.0000"/>
    <numFmt numFmtId="169" formatCode="0%"/>
    <numFmt numFmtId="170" formatCode="#,##0.##"/>
    <numFmt numFmtId="171" formatCode="#,##0.00&quot; €&quot;"/>
    <numFmt numFmtId="172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Sylfaen"/>
      <family val="0"/>
      <charset val="1"/>
    </font>
    <font>
      <i val="true"/>
      <sz val="9"/>
      <color rgb="FF595959"/>
      <name val="Sylfaen"/>
      <family val="0"/>
      <charset val="1"/>
    </font>
    <font>
      <b val="true"/>
      <sz val="12"/>
      <color rgb="FF1F3864"/>
      <name val="Sylfaen"/>
      <family val="0"/>
      <charset val="1"/>
    </font>
    <font>
      <b val="true"/>
      <sz val="10"/>
      <color rgb="FFFFFFFF"/>
      <name val="Sylfaen"/>
      <family val="0"/>
      <charset val="1"/>
    </font>
    <font>
      <sz val="10"/>
      <name val="Sylfaen"/>
      <family val="0"/>
      <charset val="1"/>
    </font>
    <font>
      <sz val="10"/>
      <color rgb="FF008000"/>
      <name val="Sylfaen"/>
      <family val="0"/>
      <charset val="1"/>
    </font>
    <font>
      <sz val="10"/>
      <color rgb="FF0000FF"/>
      <name val="Sylfaen"/>
      <family val="0"/>
      <charset val="1"/>
    </font>
    <font>
      <b val="true"/>
      <sz val="11"/>
      <name val="Sylfaen"/>
      <family val="0"/>
      <charset val="1"/>
    </font>
    <font>
      <b val="true"/>
      <sz val="10"/>
      <name val="Sylfaen"/>
      <family val="0"/>
      <charset val="1"/>
    </font>
    <font>
      <b val="true"/>
      <sz val="10"/>
      <color rgb="FF0000FF"/>
      <name val="Sylfae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2E75B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6"/>
    <col collapsed="false" customWidth="true" hidden="false" outlineLevel="0" max="4" min="3" style="0" width="17"/>
    <col collapsed="false" customWidth="true" hidden="false" outlineLevel="0" max="5" min="5" style="0" width="52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5" customFormat="false" ht="15" hidden="false" customHeight="false" outlineLevel="0" collapsed="false">
      <c r="B5" s="3" t="s">
        <v>3</v>
      </c>
    </row>
    <row r="6" customFormat="false" ht="23.85" hidden="false" customHeight="false" outlineLevel="0" collapsed="false">
      <c r="A6" s="4"/>
      <c r="B6" s="4" t="s">
        <v>4</v>
      </c>
      <c r="C6" s="4" t="s">
        <v>5</v>
      </c>
      <c r="D6" s="4" t="s">
        <v>6</v>
      </c>
      <c r="E6" s="4" t="s">
        <v>7</v>
      </c>
    </row>
    <row r="7" customFormat="false" ht="15" hidden="false" customHeight="false" outlineLevel="0" collapsed="false">
      <c r="B7" s="5" t="s">
        <v>8</v>
      </c>
      <c r="C7" s="6" t="n">
        <f aca="false">სამუშაო!F43</f>
        <v>33134.824</v>
      </c>
      <c r="D7" s="6" t="n">
        <f aca="false">სამუშაო!F46</f>
        <v>22819</v>
      </c>
      <c r="E7" s="7" t="s">
        <v>9</v>
      </c>
    </row>
    <row r="8" customFormat="false" ht="15" hidden="false" customHeight="false" outlineLevel="0" collapsed="false">
      <c r="B8" s="5" t="s">
        <v>10</v>
      </c>
      <c r="C8" s="6" t="n">
        <f aca="false">შემსრულებლები!E13</f>
        <v>2800</v>
      </c>
      <c r="D8" s="8" t="n">
        <v>0</v>
      </c>
      <c r="E8" s="7" t="s">
        <v>11</v>
      </c>
    </row>
    <row r="9" customFormat="false" ht="15" hidden="false" customHeight="false" outlineLevel="0" collapsed="false">
      <c r="B9" s="5" t="s">
        <v>12</v>
      </c>
      <c r="C9" s="6" t="n">
        <f aca="false">მასალები!F68</f>
        <v>31101.9</v>
      </c>
      <c r="D9" s="6" t="n">
        <f aca="false">მასალები!F70</f>
        <v>29174.9</v>
      </c>
      <c r="E9" s="7" t="s">
        <v>13</v>
      </c>
    </row>
    <row r="10" customFormat="false" ht="15" hidden="false" customHeight="false" outlineLevel="0" collapsed="false">
      <c r="B10" s="5" t="s">
        <v>14</v>
      </c>
      <c r="C10" s="6" t="n">
        <f aca="false">ინსტრუმენტები!F7</f>
        <v>2930</v>
      </c>
      <c r="D10" s="6" t="n">
        <f aca="false">SUMIF(ინსტრუმენტები!G4:G6,"PAID",ინსტრუმენტები!F4:F6)</f>
        <v>90</v>
      </c>
      <c r="E10" s="7" t="s">
        <v>15</v>
      </c>
    </row>
    <row r="11" customFormat="false" ht="15" hidden="false" customHeight="false" outlineLevel="0" collapsed="false">
      <c r="B11" s="9" t="s">
        <v>16</v>
      </c>
      <c r="C11" s="10" t="n">
        <f aca="false">SUM(C7:C10)</f>
        <v>69966.724</v>
      </c>
      <c r="D11" s="10" t="n">
        <f aca="false">SUM(D7:D10)</f>
        <v>52083.9</v>
      </c>
      <c r="E11" s="11"/>
    </row>
    <row r="12" customFormat="false" ht="15" hidden="false" customHeight="false" outlineLevel="0" collapsed="false">
      <c r="B12" s="12" t="s">
        <v>17</v>
      </c>
      <c r="C12" s="13" t="n">
        <f aca="false">C11-D11</f>
        <v>17882.824</v>
      </c>
      <c r="D12" s="5"/>
      <c r="E12" s="5"/>
    </row>
    <row r="14" customFormat="false" ht="15" hidden="false" customHeight="false" outlineLevel="0" collapsed="false">
      <c r="B14" s="3" t="s">
        <v>18</v>
      </c>
    </row>
    <row r="15" customFormat="false" ht="15" hidden="false" customHeight="false" outlineLevel="0" collapsed="false">
      <c r="A15" s="4"/>
      <c r="B15" s="4" t="s">
        <v>4</v>
      </c>
      <c r="C15" s="4" t="s">
        <v>5</v>
      </c>
      <c r="D15" s="4"/>
      <c r="E15" s="4" t="s">
        <v>7</v>
      </c>
    </row>
    <row r="16" customFormat="false" ht="15" hidden="false" customHeight="false" outlineLevel="0" collapsed="false">
      <c r="B16" s="14" t="s">
        <v>19</v>
      </c>
      <c r="C16" s="6" t="n">
        <f aca="false">Total!F9</f>
        <v>242830.04</v>
      </c>
      <c r="D16" s="5"/>
      <c r="E16" s="7" t="s">
        <v>20</v>
      </c>
    </row>
    <row r="17" customFormat="false" ht="15" hidden="false" customHeight="false" outlineLevel="0" collapsed="false">
      <c r="B17" s="14" t="s">
        <v>21</v>
      </c>
      <c r="C17" s="6" t="n">
        <f aca="false">Total!F10</f>
        <v>24283.004</v>
      </c>
      <c r="D17" s="5"/>
      <c r="E17" s="7" t="s">
        <v>22</v>
      </c>
    </row>
    <row r="18" customFormat="false" ht="15" hidden="false" customHeight="false" outlineLevel="0" collapsed="false">
      <c r="B18" s="9" t="s">
        <v>23</v>
      </c>
      <c r="C18" s="10" t="n">
        <f aca="false">Total!F11</f>
        <v>267113.044</v>
      </c>
      <c r="D18" s="11"/>
      <c r="E18" s="15" t="n">
        <f aca="false">C18/დაშვებები!$D$6</f>
        <v>88433.3865254097</v>
      </c>
    </row>
    <row r="20" customFormat="false" ht="15" hidden="false" customHeight="false" outlineLevel="0" collapsed="false">
      <c r="B20" s="3" t="s">
        <v>24</v>
      </c>
    </row>
    <row r="21" customFormat="false" ht="15" hidden="false" customHeight="false" outlineLevel="0" collapsed="false">
      <c r="A21" s="4"/>
      <c r="B21" s="4" t="s">
        <v>25</v>
      </c>
      <c r="C21" s="4" t="s">
        <v>26</v>
      </c>
      <c r="D21" s="4" t="s">
        <v>27</v>
      </c>
      <c r="E21" s="4" t="s">
        <v>28</v>
      </c>
    </row>
    <row r="22" customFormat="false" ht="15" hidden="false" customHeight="false" outlineLevel="0" collapsed="false">
      <c r="B22" s="14" t="s">
        <v>29</v>
      </c>
      <c r="C22" s="8" t="n">
        <v>3685</v>
      </c>
      <c r="D22" s="8" t="n">
        <v>2840</v>
      </c>
      <c r="E22" s="7" t="s">
        <v>30</v>
      </c>
    </row>
    <row r="23" customFormat="false" ht="15" hidden="false" customHeight="false" outlineLevel="0" collapsed="false">
      <c r="B23" s="14" t="s">
        <v>31</v>
      </c>
      <c r="C23" s="8" t="n">
        <v>6999.4</v>
      </c>
      <c r="D23" s="8" t="n">
        <v>1978</v>
      </c>
      <c r="E23" s="7" t="s">
        <v>32</v>
      </c>
    </row>
    <row r="24" customFormat="false" ht="15" hidden="false" customHeight="false" outlineLevel="0" collapsed="false">
      <c r="B24" s="14" t="s">
        <v>33</v>
      </c>
      <c r="C24" s="8" t="n">
        <v>5400</v>
      </c>
      <c r="D24" s="8" t="n">
        <v>3240</v>
      </c>
      <c r="E24" s="7" t="s">
        <v>34</v>
      </c>
    </row>
    <row r="25" customFormat="false" ht="15" hidden="false" customHeight="false" outlineLevel="0" collapsed="false">
      <c r="B25" s="14" t="s">
        <v>35</v>
      </c>
      <c r="C25" s="8" t="n">
        <v>400</v>
      </c>
      <c r="D25" s="8" t="n">
        <v>244</v>
      </c>
      <c r="E25" s="7" t="s">
        <v>36</v>
      </c>
    </row>
    <row r="26" customFormat="false" ht="15" hidden="false" customHeight="false" outlineLevel="0" collapsed="false">
      <c r="B26" s="14" t="s">
        <v>37</v>
      </c>
      <c r="C26" s="8" t="n">
        <v>1140</v>
      </c>
      <c r="D26" s="8" t="n">
        <v>870</v>
      </c>
      <c r="E26" s="7" t="s">
        <v>38</v>
      </c>
    </row>
    <row r="27" customFormat="false" ht="22.35" hidden="false" customHeight="false" outlineLevel="0" collapsed="false">
      <c r="B27" s="14" t="s">
        <v>39</v>
      </c>
      <c r="C27" s="8"/>
      <c r="D27" s="8"/>
      <c r="E27" s="7" t="s">
        <v>40</v>
      </c>
    </row>
    <row r="28" customFormat="false" ht="15" hidden="false" customHeight="false" outlineLevel="0" collapsed="false">
      <c r="B28" s="9" t="s">
        <v>41</v>
      </c>
      <c r="C28" s="10" t="n">
        <f aca="false">SUM(C22:C27)</f>
        <v>17624.4</v>
      </c>
      <c r="D28" s="10" t="n">
        <f aca="false">SUM(D22:D27)</f>
        <v>9172</v>
      </c>
      <c r="E28" s="16" t="n">
        <f aca="false">C28-D28</f>
        <v>8452.4</v>
      </c>
    </row>
    <row r="30" customFormat="false" ht="15" hidden="false" customHeight="false" outlineLevel="0" collapsed="false">
      <c r="B30" s="3" t="s">
        <v>42</v>
      </c>
    </row>
    <row r="31" customFormat="false" ht="25.5" hidden="false" customHeight="true" outlineLevel="0" collapsed="false">
      <c r="B31" s="17" t="s">
        <v>43</v>
      </c>
      <c r="C31" s="17"/>
      <c r="D31" s="17"/>
      <c r="E31" s="17"/>
    </row>
    <row r="32" customFormat="false" ht="39" hidden="false" customHeight="true" outlineLevel="0" collapsed="false">
      <c r="B32" s="17" t="s">
        <v>44</v>
      </c>
      <c r="C32" s="17"/>
      <c r="D32" s="17"/>
      <c r="E32" s="17"/>
    </row>
    <row r="33" customFormat="false" ht="39" hidden="false" customHeight="true" outlineLevel="0" collapsed="false">
      <c r="B33" s="17" t="s">
        <v>45</v>
      </c>
      <c r="C33" s="17"/>
      <c r="D33" s="17"/>
      <c r="E33" s="17"/>
    </row>
    <row r="34" customFormat="false" ht="25.5" hidden="false" customHeight="true" outlineLevel="0" collapsed="false">
      <c r="B34" s="17" t="s">
        <v>46</v>
      </c>
      <c r="C34" s="17"/>
      <c r="D34" s="17"/>
      <c r="E34" s="17"/>
    </row>
  </sheetData>
  <mergeCells count="4">
    <mergeCell ref="B31:E31"/>
    <mergeCell ref="B32:E32"/>
    <mergeCell ref="B33:E33"/>
    <mergeCell ref="B34:E34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&amp;Lშეჯამება&amp;R&amp;P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44"/>
    <col collapsed="false" customWidth="true" hidden="false" outlineLevel="0" max="6" min="6" style="0" width="15"/>
    <col collapsed="false" customWidth="true" hidden="false" outlineLevel="0" max="7" min="7" style="0" width="46"/>
  </cols>
  <sheetData>
    <row r="1" customFormat="false" ht="19.7" hidden="false" customHeight="false" outlineLevel="0" collapsed="false">
      <c r="B1" s="1" t="s">
        <v>47</v>
      </c>
    </row>
    <row r="2" customFormat="false" ht="15" hidden="false" customHeight="false" outlineLevel="0" collapsed="false">
      <c r="B2" s="2" t="s">
        <v>48</v>
      </c>
    </row>
    <row r="4" customFormat="false" ht="15" hidden="false" customHeight="false" outlineLevel="0" collapsed="false">
      <c r="B4" s="3" t="s">
        <v>49</v>
      </c>
    </row>
    <row r="5" customFormat="false" ht="15" hidden="false" customHeight="false" outlineLevel="0" collapsed="false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7</v>
      </c>
    </row>
    <row r="6" customFormat="false" ht="15" hidden="false" customHeight="false" outlineLevel="0" collapsed="false">
      <c r="A6" s="18" t="n">
        <v>1</v>
      </c>
      <c r="B6" s="5" t="s">
        <v>56</v>
      </c>
      <c r="C6" s="18" t="s">
        <v>57</v>
      </c>
      <c r="D6" s="19" t="n">
        <v>3.0205</v>
      </c>
      <c r="E6" s="14" t="s">
        <v>58</v>
      </c>
      <c r="F6" s="18" t="s">
        <v>59</v>
      </c>
      <c r="G6" s="7" t="s">
        <v>60</v>
      </c>
    </row>
    <row r="7" customFormat="false" ht="15" hidden="false" customHeight="false" outlineLevel="0" collapsed="false">
      <c r="A7" s="18" t="n">
        <v>2</v>
      </c>
      <c r="B7" s="5" t="s">
        <v>61</v>
      </c>
      <c r="C7" s="18" t="s">
        <v>57</v>
      </c>
      <c r="D7" s="19" t="n">
        <v>2.6181</v>
      </c>
      <c r="E7" s="14" t="s">
        <v>58</v>
      </c>
      <c r="F7" s="18" t="s">
        <v>59</v>
      </c>
      <c r="G7" s="7" t="s">
        <v>60</v>
      </c>
    </row>
    <row r="8" customFormat="false" ht="15" hidden="false" customHeight="false" outlineLevel="0" collapsed="false">
      <c r="A8" s="18" t="n">
        <v>3</v>
      </c>
      <c r="B8" s="5" t="s">
        <v>62</v>
      </c>
      <c r="C8" s="18" t="s">
        <v>63</v>
      </c>
      <c r="D8" s="20" t="n">
        <v>0.18</v>
      </c>
      <c r="E8" s="14" t="s">
        <v>64</v>
      </c>
      <c r="F8" s="18" t="s">
        <v>65</v>
      </c>
      <c r="G8" s="7" t="s">
        <v>66</v>
      </c>
    </row>
    <row r="9" customFormat="false" ht="23.85" hidden="false" customHeight="false" outlineLevel="0" collapsed="false">
      <c r="A9" s="18" t="n">
        <v>4</v>
      </c>
      <c r="B9" s="5" t="s">
        <v>67</v>
      </c>
      <c r="C9" s="18" t="s">
        <v>63</v>
      </c>
      <c r="D9" s="21" t="n">
        <v>0.1</v>
      </c>
      <c r="E9" s="14" t="s">
        <v>68</v>
      </c>
      <c r="F9" s="18" t="s">
        <v>69</v>
      </c>
      <c r="G9" s="7" t="s">
        <v>70</v>
      </c>
    </row>
    <row r="10" customFormat="false" ht="15" hidden="false" customHeight="false" outlineLevel="0" collapsed="false">
      <c r="A10" s="18" t="n">
        <v>5</v>
      </c>
      <c r="B10" s="5" t="s">
        <v>71</v>
      </c>
      <c r="C10" s="18" t="s">
        <v>63</v>
      </c>
      <c r="D10" s="21" t="n">
        <v>0.1</v>
      </c>
      <c r="E10" s="14" t="s">
        <v>72</v>
      </c>
      <c r="F10" s="18" t="s">
        <v>69</v>
      </c>
      <c r="G10" s="7" t="s">
        <v>73</v>
      </c>
    </row>
    <row r="11" customFormat="false" ht="15" hidden="false" customHeight="false" outlineLevel="0" collapsed="false">
      <c r="A11" s="18" t="n">
        <v>6</v>
      </c>
      <c r="B11" s="5" t="s">
        <v>74</v>
      </c>
      <c r="C11" s="18" t="s">
        <v>63</v>
      </c>
      <c r="D11" s="20" t="n">
        <v>0.07</v>
      </c>
      <c r="E11" s="14" t="s">
        <v>75</v>
      </c>
      <c r="F11" s="18" t="s">
        <v>69</v>
      </c>
      <c r="G11" s="7" t="s">
        <v>76</v>
      </c>
    </row>
    <row r="13" customFormat="false" ht="15" hidden="false" customHeight="false" outlineLevel="0" collapsed="false">
      <c r="B13" s="3" t="s">
        <v>77</v>
      </c>
    </row>
    <row r="14" customFormat="false" ht="15" hidden="false" customHeight="false" outlineLevel="0" collapsed="false">
      <c r="A14" s="4" t="s">
        <v>50</v>
      </c>
      <c r="B14" s="4" t="s">
        <v>78</v>
      </c>
      <c r="C14" s="4" t="s">
        <v>52</v>
      </c>
      <c r="D14" s="4" t="s">
        <v>79</v>
      </c>
      <c r="E14" s="4" t="s">
        <v>54</v>
      </c>
      <c r="F14" s="4" t="s">
        <v>55</v>
      </c>
      <c r="G14" s="4" t="s">
        <v>7</v>
      </c>
    </row>
    <row r="15" customFormat="false" ht="22.35" hidden="false" customHeight="false" outlineLevel="0" collapsed="false">
      <c r="A15" s="18" t="n">
        <v>1</v>
      </c>
      <c r="B15" s="14" t="s">
        <v>80</v>
      </c>
      <c r="C15" s="18" t="s">
        <v>81</v>
      </c>
      <c r="D15" s="8" t="n">
        <v>140</v>
      </c>
      <c r="E15" s="14" t="s">
        <v>82</v>
      </c>
      <c r="F15" s="18" t="s">
        <v>59</v>
      </c>
      <c r="G15" s="7" t="s">
        <v>83</v>
      </c>
    </row>
    <row r="16" customFormat="false" ht="15" hidden="false" customHeight="false" outlineLevel="0" collapsed="false">
      <c r="A16" s="18" t="n">
        <v>2</v>
      </c>
      <c r="B16" s="14" t="s">
        <v>84</v>
      </c>
      <c r="C16" s="18" t="s">
        <v>81</v>
      </c>
      <c r="D16" s="8" t="n">
        <v>45</v>
      </c>
      <c r="E16" s="14" t="s">
        <v>85</v>
      </c>
      <c r="F16" s="18" t="s">
        <v>59</v>
      </c>
      <c r="G16" s="7" t="s">
        <v>86</v>
      </c>
    </row>
    <row r="17" customFormat="false" ht="15" hidden="false" customHeight="false" outlineLevel="0" collapsed="false">
      <c r="A17" s="18" t="n">
        <v>3</v>
      </c>
      <c r="B17" s="14" t="s">
        <v>87</v>
      </c>
      <c r="C17" s="18" t="s">
        <v>88</v>
      </c>
      <c r="D17" s="8" t="n">
        <v>76</v>
      </c>
      <c r="E17" s="14" t="s">
        <v>89</v>
      </c>
      <c r="F17" s="18" t="s">
        <v>59</v>
      </c>
      <c r="G17" s="7" t="s">
        <v>90</v>
      </c>
    </row>
    <row r="18" customFormat="false" ht="15" hidden="false" customHeight="false" outlineLevel="0" collapsed="false">
      <c r="A18" s="18" t="n">
        <v>4</v>
      </c>
      <c r="B18" s="14" t="s">
        <v>91</v>
      </c>
      <c r="C18" s="18" t="s">
        <v>92</v>
      </c>
      <c r="D18" s="8" t="n">
        <v>34</v>
      </c>
      <c r="E18" s="14" t="s">
        <v>93</v>
      </c>
      <c r="F18" s="18" t="s">
        <v>59</v>
      </c>
      <c r="G18" s="7" t="s">
        <v>94</v>
      </c>
    </row>
    <row r="19" customFormat="false" ht="15" hidden="false" customHeight="false" outlineLevel="0" collapsed="false">
      <c r="A19" s="18" t="n">
        <v>5</v>
      </c>
      <c r="B19" s="14" t="s">
        <v>95</v>
      </c>
      <c r="C19" s="18" t="s">
        <v>96</v>
      </c>
      <c r="D19" s="8" t="n">
        <v>25</v>
      </c>
      <c r="E19" s="14" t="s">
        <v>97</v>
      </c>
      <c r="F19" s="18" t="s">
        <v>59</v>
      </c>
      <c r="G19" s="7" t="s">
        <v>98</v>
      </c>
    </row>
    <row r="20" customFormat="false" ht="15" hidden="false" customHeight="false" outlineLevel="0" collapsed="false">
      <c r="A20" s="18" t="n">
        <v>6</v>
      </c>
      <c r="B20" s="14" t="s">
        <v>99</v>
      </c>
      <c r="C20" s="18" t="s">
        <v>92</v>
      </c>
      <c r="D20" s="8" t="n">
        <v>230</v>
      </c>
      <c r="E20" s="14" t="s">
        <v>100</v>
      </c>
      <c r="F20" s="18" t="s">
        <v>59</v>
      </c>
      <c r="G20" s="7" t="s">
        <v>101</v>
      </c>
    </row>
    <row r="21" customFormat="false" ht="15" hidden="false" customHeight="false" outlineLevel="0" collapsed="false">
      <c r="A21" s="18" t="n">
        <v>7</v>
      </c>
      <c r="B21" s="14" t="s">
        <v>102</v>
      </c>
      <c r="C21" s="18" t="s">
        <v>92</v>
      </c>
      <c r="D21" s="8" t="n">
        <v>250</v>
      </c>
      <c r="E21" s="14" t="s">
        <v>103</v>
      </c>
      <c r="F21" s="18" t="s">
        <v>104</v>
      </c>
      <c r="G21" s="7" t="s">
        <v>105</v>
      </c>
    </row>
    <row r="22" customFormat="false" ht="15" hidden="false" customHeight="false" outlineLevel="0" collapsed="false">
      <c r="A22" s="18" t="n">
        <v>8</v>
      </c>
      <c r="B22" s="14" t="s">
        <v>106</v>
      </c>
      <c r="C22" s="18" t="s">
        <v>92</v>
      </c>
      <c r="D22" s="8" t="n">
        <v>389</v>
      </c>
      <c r="E22" s="14" t="s">
        <v>107</v>
      </c>
      <c r="F22" s="18" t="s">
        <v>59</v>
      </c>
      <c r="G22" s="7" t="s">
        <v>108</v>
      </c>
    </row>
    <row r="23" customFormat="false" ht="22.35" hidden="false" customHeight="false" outlineLevel="0" collapsed="false">
      <c r="A23" s="18" t="n">
        <v>9</v>
      </c>
      <c r="B23" s="14" t="s">
        <v>109</v>
      </c>
      <c r="C23" s="18" t="s">
        <v>92</v>
      </c>
      <c r="D23" s="8" t="n">
        <v>180</v>
      </c>
      <c r="E23" s="14" t="s">
        <v>110</v>
      </c>
      <c r="F23" s="18" t="s">
        <v>59</v>
      </c>
      <c r="G23" s="7" t="s">
        <v>111</v>
      </c>
    </row>
    <row r="24" customFormat="false" ht="15" hidden="false" customHeight="false" outlineLevel="0" collapsed="false">
      <c r="A24" s="18" t="n">
        <v>10</v>
      </c>
      <c r="B24" s="14" t="s">
        <v>112</v>
      </c>
      <c r="C24" s="18" t="s">
        <v>92</v>
      </c>
      <c r="D24" s="8" t="n">
        <v>306</v>
      </c>
      <c r="E24" s="14" t="s">
        <v>113</v>
      </c>
      <c r="F24" s="18" t="s">
        <v>59</v>
      </c>
      <c r="G24" s="7" t="s">
        <v>114</v>
      </c>
    </row>
    <row r="25" customFormat="false" ht="15" hidden="false" customHeight="false" outlineLevel="0" collapsed="false">
      <c r="A25" s="18" t="n">
        <v>11</v>
      </c>
      <c r="B25" s="14" t="s">
        <v>115</v>
      </c>
      <c r="C25" s="18" t="s">
        <v>92</v>
      </c>
      <c r="D25" s="22" t="n">
        <f aca="false">ROUND(488*$D$6*(1+$D$10),0)</f>
        <v>1621</v>
      </c>
      <c r="E25" s="14" t="s">
        <v>116</v>
      </c>
      <c r="F25" s="18" t="s">
        <v>117</v>
      </c>
      <c r="G25" s="7" t="s">
        <v>118</v>
      </c>
    </row>
    <row r="26" customFormat="false" ht="15" hidden="false" customHeight="false" outlineLevel="0" collapsed="false">
      <c r="A26" s="18" t="n">
        <v>12</v>
      </c>
      <c r="B26" s="14" t="s">
        <v>119</v>
      </c>
      <c r="C26" s="18" t="s">
        <v>92</v>
      </c>
      <c r="D26" s="22" t="n">
        <f aca="false">ROUND(282*$D$6*(1+$D$10),0)</f>
        <v>937</v>
      </c>
      <c r="E26" s="14" t="s">
        <v>120</v>
      </c>
      <c r="F26" s="18" t="s">
        <v>117</v>
      </c>
      <c r="G26" s="7" t="s">
        <v>121</v>
      </c>
    </row>
    <row r="27" customFormat="false" ht="23.85" hidden="false" customHeight="false" outlineLevel="0" collapsed="false">
      <c r="A27" s="18" t="n">
        <v>13</v>
      </c>
      <c r="B27" s="14" t="s">
        <v>122</v>
      </c>
      <c r="C27" s="18" t="s">
        <v>92</v>
      </c>
      <c r="D27" s="8" t="n">
        <v>750</v>
      </c>
      <c r="E27" s="14" t="s">
        <v>123</v>
      </c>
      <c r="F27" s="18" t="s">
        <v>59</v>
      </c>
      <c r="G27" s="7" t="s">
        <v>124</v>
      </c>
    </row>
    <row r="28" customFormat="false" ht="15" hidden="false" customHeight="false" outlineLevel="0" collapsed="false">
      <c r="A28" s="18" t="n">
        <v>14</v>
      </c>
      <c r="B28" s="14" t="s">
        <v>125</v>
      </c>
      <c r="C28" s="18" t="s">
        <v>92</v>
      </c>
      <c r="D28" s="8" t="n">
        <v>359</v>
      </c>
      <c r="E28" s="14" t="s">
        <v>126</v>
      </c>
      <c r="F28" s="18" t="s">
        <v>59</v>
      </c>
      <c r="G28" s="7" t="s">
        <v>127</v>
      </c>
    </row>
    <row r="29" customFormat="false" ht="22.35" hidden="false" customHeight="false" outlineLevel="0" collapsed="false">
      <c r="A29" s="18" t="n">
        <v>15</v>
      </c>
      <c r="B29" s="14" t="s">
        <v>128</v>
      </c>
      <c r="C29" s="18" t="s">
        <v>81</v>
      </c>
      <c r="D29" s="8" t="n">
        <v>20</v>
      </c>
      <c r="E29" s="14" t="s">
        <v>129</v>
      </c>
      <c r="F29" s="18" t="s">
        <v>59</v>
      </c>
      <c r="G29" s="7" t="s">
        <v>130</v>
      </c>
    </row>
    <row r="30" customFormat="false" ht="23.85" hidden="false" customHeight="false" outlineLevel="0" collapsed="false">
      <c r="A30" s="18" t="n">
        <v>16</v>
      </c>
      <c r="B30" s="14" t="s">
        <v>131</v>
      </c>
      <c r="C30" s="18" t="s">
        <v>88</v>
      </c>
      <c r="D30" s="8" t="n">
        <v>25</v>
      </c>
      <c r="E30" s="14" t="s">
        <v>132</v>
      </c>
      <c r="F30" s="18" t="s">
        <v>69</v>
      </c>
      <c r="G30" s="7" t="s">
        <v>133</v>
      </c>
    </row>
    <row r="31" customFormat="false" ht="23.85" hidden="false" customHeight="false" outlineLevel="0" collapsed="false">
      <c r="A31" s="18" t="n">
        <v>17</v>
      </c>
      <c r="B31" s="14" t="s">
        <v>134</v>
      </c>
      <c r="C31" s="18" t="s">
        <v>81</v>
      </c>
      <c r="D31" s="22" t="n">
        <f aca="false">ROUND(19*$D$6*(1+$D$10),2)</f>
        <v>63.13</v>
      </c>
      <c r="E31" s="14" t="s">
        <v>135</v>
      </c>
      <c r="F31" s="18" t="s">
        <v>104</v>
      </c>
      <c r="G31" s="7" t="s">
        <v>136</v>
      </c>
    </row>
    <row r="32" customFormat="false" ht="15" hidden="false" customHeight="false" outlineLevel="0" collapsed="false">
      <c r="A32" s="18" t="n">
        <v>18</v>
      </c>
      <c r="B32" s="14" t="s">
        <v>137</v>
      </c>
      <c r="C32" s="18" t="s">
        <v>81</v>
      </c>
      <c r="D32" s="8" t="n">
        <v>15</v>
      </c>
      <c r="E32" s="14" t="s">
        <v>138</v>
      </c>
      <c r="F32" s="18" t="s">
        <v>69</v>
      </c>
      <c r="G32" s="7" t="s">
        <v>139</v>
      </c>
    </row>
    <row r="33" customFormat="false" ht="15" hidden="false" customHeight="false" outlineLevel="0" collapsed="false">
      <c r="A33" s="18" t="n">
        <v>19</v>
      </c>
      <c r="B33" s="14" t="s">
        <v>140</v>
      </c>
      <c r="C33" s="18" t="s">
        <v>81</v>
      </c>
      <c r="D33" s="8" t="n">
        <v>140</v>
      </c>
      <c r="E33" s="14" t="s">
        <v>141</v>
      </c>
      <c r="F33" s="18" t="s">
        <v>69</v>
      </c>
      <c r="G33" s="7" t="s">
        <v>142</v>
      </c>
    </row>
    <row r="34" customFormat="false" ht="15" hidden="false" customHeight="false" outlineLevel="0" collapsed="false">
      <c r="A34" s="18" t="n">
        <v>20</v>
      </c>
      <c r="B34" s="14" t="s">
        <v>143</v>
      </c>
      <c r="C34" s="18" t="s">
        <v>144</v>
      </c>
      <c r="D34" s="8" t="n">
        <v>370</v>
      </c>
      <c r="E34" s="14" t="s">
        <v>145</v>
      </c>
      <c r="F34" s="18" t="s">
        <v>59</v>
      </c>
      <c r="G34" s="7" t="s">
        <v>146</v>
      </c>
    </row>
    <row r="35" customFormat="false" ht="15" hidden="false" customHeight="false" outlineLevel="0" collapsed="false">
      <c r="A35" s="18" t="n">
        <v>21</v>
      </c>
      <c r="B35" s="14" t="s">
        <v>147</v>
      </c>
      <c r="C35" s="18" t="s">
        <v>81</v>
      </c>
      <c r="D35" s="8" t="n">
        <v>20</v>
      </c>
      <c r="E35" s="14" t="s">
        <v>148</v>
      </c>
      <c r="F35" s="18" t="s">
        <v>59</v>
      </c>
      <c r="G35" s="7" t="s">
        <v>149</v>
      </c>
    </row>
    <row r="37" customFormat="false" ht="15" hidden="false" customHeight="false" outlineLevel="0" collapsed="false">
      <c r="B37" s="2" t="s">
        <v>150</v>
      </c>
    </row>
  </sheetData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&amp;Lდაშვებები&amp;R&amp;P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9.7" hidden="false" customHeight="false" outlineLevel="0" collapsed="false">
      <c r="B1" s="1" t="s">
        <v>151</v>
      </c>
    </row>
    <row r="2" customFormat="false" ht="15" hidden="false" customHeight="false" outlineLevel="0" collapsed="false">
      <c r="B2" s="2" t="s">
        <v>152</v>
      </c>
    </row>
    <row r="4" customFormat="false" ht="15" hidden="false" customHeight="false" outlineLevel="0" collapsed="false">
      <c r="A4" s="4" t="s">
        <v>50</v>
      </c>
      <c r="B4" s="4" t="s">
        <v>78</v>
      </c>
      <c r="C4" s="4" t="s">
        <v>52</v>
      </c>
      <c r="D4" s="4" t="s">
        <v>153</v>
      </c>
      <c r="E4" s="4" t="s">
        <v>154</v>
      </c>
      <c r="F4" s="4" t="s">
        <v>155</v>
      </c>
      <c r="G4" s="4" t="s">
        <v>7</v>
      </c>
    </row>
    <row r="5" customFormat="false" ht="15" hidden="false" customHeight="false" outlineLevel="0" collapsed="false">
      <c r="A5" s="18" t="n">
        <v>1</v>
      </c>
      <c r="B5" s="14" t="s">
        <v>156</v>
      </c>
      <c r="C5" s="18" t="s">
        <v>81</v>
      </c>
      <c r="D5" s="23" t="n">
        <v>18</v>
      </c>
      <c r="E5" s="6" t="n">
        <f aca="false">დაშვებები!$D$16</f>
        <v>45</v>
      </c>
      <c r="F5" s="22" t="n">
        <f aca="false">D5*E5</f>
        <v>810</v>
      </c>
      <c r="G5" s="7" t="s">
        <v>157</v>
      </c>
    </row>
    <row r="6" customFormat="false" ht="15" hidden="false" customHeight="false" outlineLevel="0" collapsed="false">
      <c r="A6" s="18" t="n">
        <v>2</v>
      </c>
      <c r="B6" s="14" t="s">
        <v>158</v>
      </c>
      <c r="C6" s="18" t="s">
        <v>81</v>
      </c>
      <c r="D6" s="24" t="n">
        <f aca="false">ROUND(D5*(1+დაშვებები!$D$11),1)</f>
        <v>19.3</v>
      </c>
      <c r="E6" s="6" t="n">
        <f aca="false">დაშვებები!$D$15</f>
        <v>140</v>
      </c>
      <c r="F6" s="22" t="n">
        <f aca="false">D6*E6</f>
        <v>2702</v>
      </c>
      <c r="G6" s="7" t="s">
        <v>159</v>
      </c>
    </row>
    <row r="7" customFormat="false" ht="15" hidden="false" customHeight="false" outlineLevel="0" collapsed="false">
      <c r="A7" s="18" t="n">
        <v>3</v>
      </c>
      <c r="B7" s="14" t="s">
        <v>160</v>
      </c>
      <c r="C7" s="18" t="s">
        <v>88</v>
      </c>
      <c r="D7" s="23" t="n">
        <v>6</v>
      </c>
      <c r="E7" s="6" t="n">
        <f aca="false">დაშვებები!$D$17</f>
        <v>76</v>
      </c>
      <c r="F7" s="22" t="n">
        <f aca="false">D7*E7</f>
        <v>456</v>
      </c>
      <c r="G7" s="7"/>
    </row>
    <row r="8" customFormat="false" ht="15" hidden="false" customHeight="false" outlineLevel="0" collapsed="false">
      <c r="A8" s="18" t="n">
        <v>4</v>
      </c>
      <c r="B8" s="14" t="s">
        <v>161</v>
      </c>
      <c r="C8" s="18" t="s">
        <v>92</v>
      </c>
      <c r="D8" s="23" t="n">
        <v>7</v>
      </c>
      <c r="E8" s="6" t="n">
        <f aca="false">დაშვებები!$D$18</f>
        <v>34</v>
      </c>
      <c r="F8" s="22" t="n">
        <f aca="false">D8*E8</f>
        <v>238</v>
      </c>
      <c r="G8" s="7"/>
    </row>
    <row r="9" customFormat="false" ht="15" hidden="false" customHeight="false" outlineLevel="0" collapsed="false">
      <c r="A9" s="18" t="n">
        <v>5</v>
      </c>
      <c r="B9" s="14" t="s">
        <v>162</v>
      </c>
      <c r="C9" s="18" t="s">
        <v>96</v>
      </c>
      <c r="D9" s="23" t="n">
        <v>15</v>
      </c>
      <c r="E9" s="6" t="n">
        <f aca="false">დაშვებები!$D$19</f>
        <v>25</v>
      </c>
      <c r="F9" s="22" t="n">
        <f aca="false">D9*E9</f>
        <v>375</v>
      </c>
      <c r="G9" s="7"/>
    </row>
    <row r="10" customFormat="false" ht="15" hidden="false" customHeight="false" outlineLevel="0" collapsed="false">
      <c r="A10" s="18" t="n">
        <v>6</v>
      </c>
      <c r="B10" s="14" t="s">
        <v>163</v>
      </c>
      <c r="C10" s="18" t="s">
        <v>92</v>
      </c>
      <c r="D10" s="23" t="n">
        <v>2</v>
      </c>
      <c r="E10" s="6" t="n">
        <f aca="false">დაშვებები!$D$20</f>
        <v>230</v>
      </c>
      <c r="F10" s="22" t="n">
        <f aca="false">D10*E10</f>
        <v>460</v>
      </c>
      <c r="G10" s="7"/>
    </row>
    <row r="11" customFormat="false" ht="15" hidden="false" customHeight="false" outlineLevel="0" collapsed="false">
      <c r="A11" s="18" t="n">
        <v>7</v>
      </c>
      <c r="B11" s="14" t="s">
        <v>102</v>
      </c>
      <c r="C11" s="18" t="s">
        <v>92</v>
      </c>
      <c r="D11" s="23" t="n">
        <v>1</v>
      </c>
      <c r="E11" s="6" t="n">
        <f aca="false">დაშვებები!$D$21</f>
        <v>250</v>
      </c>
      <c r="F11" s="22" t="n">
        <f aca="false">D11*E11</f>
        <v>250</v>
      </c>
      <c r="G11" s="7"/>
    </row>
    <row r="12" customFormat="false" ht="15" hidden="false" customHeight="false" outlineLevel="0" collapsed="false">
      <c r="A12" s="18" t="n">
        <v>8</v>
      </c>
      <c r="B12" s="14" t="s">
        <v>164</v>
      </c>
      <c r="C12" s="18" t="s">
        <v>92</v>
      </c>
      <c r="D12" s="23" t="n">
        <v>1</v>
      </c>
      <c r="E12" s="6" t="n">
        <f aca="false">დაშვებები!$D$22</f>
        <v>389</v>
      </c>
      <c r="F12" s="22" t="n">
        <f aca="false">D12*E12</f>
        <v>389</v>
      </c>
      <c r="G12" s="7"/>
    </row>
    <row r="13" customFormat="false" ht="15" hidden="false" customHeight="false" outlineLevel="0" collapsed="false">
      <c r="A13" s="18" t="n">
        <v>9</v>
      </c>
      <c r="B13" s="14" t="s">
        <v>165</v>
      </c>
      <c r="C13" s="18" t="s">
        <v>92</v>
      </c>
      <c r="D13" s="23" t="n">
        <v>1</v>
      </c>
      <c r="E13" s="6" t="n">
        <f aca="false">დაშვებები!$D$23</f>
        <v>180</v>
      </c>
      <c r="F13" s="22" t="n">
        <f aca="false">D13*E13</f>
        <v>180</v>
      </c>
      <c r="G13" s="7"/>
    </row>
    <row r="14" customFormat="false" ht="15" hidden="false" customHeight="false" outlineLevel="0" collapsed="false">
      <c r="A14" s="18" t="n">
        <v>10</v>
      </c>
      <c r="B14" s="14" t="s">
        <v>166</v>
      </c>
      <c r="C14" s="18" t="s">
        <v>92</v>
      </c>
      <c r="D14" s="23" t="n">
        <v>1</v>
      </c>
      <c r="E14" s="6" t="n">
        <f aca="false">დაშვებები!$D$24</f>
        <v>306</v>
      </c>
      <c r="F14" s="22" t="n">
        <f aca="false">D14*E14</f>
        <v>306</v>
      </c>
      <c r="G14" s="7"/>
    </row>
    <row r="15" customFormat="false" ht="15" hidden="false" customHeight="false" outlineLevel="0" collapsed="false">
      <c r="A15" s="18" t="n">
        <v>11</v>
      </c>
      <c r="B15" s="14" t="s">
        <v>167</v>
      </c>
      <c r="C15" s="18" t="s">
        <v>92</v>
      </c>
      <c r="D15" s="23" t="n">
        <v>1</v>
      </c>
      <c r="E15" s="6" t="n">
        <f aca="false">დაშვებები!$D$25</f>
        <v>1621</v>
      </c>
      <c r="F15" s="22" t="n">
        <f aca="false">D15*E15</f>
        <v>1621</v>
      </c>
      <c r="G15" s="7" t="s">
        <v>168</v>
      </c>
    </row>
    <row r="16" customFormat="false" ht="15" hidden="false" customHeight="false" outlineLevel="0" collapsed="false">
      <c r="A16" s="18" t="n">
        <v>12</v>
      </c>
      <c r="B16" s="14" t="s">
        <v>169</v>
      </c>
      <c r="C16" s="18" t="s">
        <v>92</v>
      </c>
      <c r="D16" s="23" t="n">
        <v>2</v>
      </c>
      <c r="E16" s="6" t="n">
        <f aca="false">დაშვებები!$D$26</f>
        <v>937</v>
      </c>
      <c r="F16" s="22" t="n">
        <f aca="false">D16*E16</f>
        <v>1874</v>
      </c>
      <c r="G16" s="7" t="s">
        <v>168</v>
      </c>
    </row>
    <row r="17" customFormat="false" ht="15" hidden="false" customHeight="false" outlineLevel="0" collapsed="false">
      <c r="A17" s="18" t="n">
        <v>13</v>
      </c>
      <c r="B17" s="14" t="s">
        <v>170</v>
      </c>
      <c r="C17" s="18" t="s">
        <v>92</v>
      </c>
      <c r="D17" s="23" t="n">
        <v>1</v>
      </c>
      <c r="E17" s="6" t="n">
        <f aca="false">დაშვებები!$D$27</f>
        <v>750</v>
      </c>
      <c r="F17" s="22" t="n">
        <f aca="false">D17*E17</f>
        <v>750</v>
      </c>
      <c r="G17" s="7"/>
    </row>
    <row r="18" customFormat="false" ht="15" hidden="false" customHeight="false" outlineLevel="0" collapsed="false">
      <c r="A18" s="18" t="n">
        <v>14</v>
      </c>
      <c r="B18" s="14" t="s">
        <v>171</v>
      </c>
      <c r="C18" s="18" t="s">
        <v>92</v>
      </c>
      <c r="D18" s="23" t="n">
        <v>1</v>
      </c>
      <c r="E18" s="6" t="n">
        <f aca="false">დაშვებები!$D$28</f>
        <v>359</v>
      </c>
      <c r="F18" s="22" t="n">
        <f aca="false">D18*E18</f>
        <v>359</v>
      </c>
      <c r="G18" s="7"/>
    </row>
    <row r="19" customFormat="false" ht="15" hidden="false" customHeight="false" outlineLevel="0" collapsed="false">
      <c r="A19" s="18" t="n">
        <v>15</v>
      </c>
      <c r="B19" s="14" t="s">
        <v>172</v>
      </c>
      <c r="C19" s="18" t="s">
        <v>81</v>
      </c>
      <c r="D19" s="23" t="n">
        <v>40</v>
      </c>
      <c r="E19" s="6" t="n">
        <f aca="false">დაშვებები!$D$29</f>
        <v>20</v>
      </c>
      <c r="F19" s="22" t="n">
        <f aca="false">D19*E19</f>
        <v>800</v>
      </c>
      <c r="G19" s="7" t="s">
        <v>173</v>
      </c>
    </row>
    <row r="20" customFormat="false" ht="15" hidden="false" customHeight="false" outlineLevel="0" collapsed="false">
      <c r="A20" s="18" t="n">
        <v>16</v>
      </c>
      <c r="B20" s="14" t="s">
        <v>174</v>
      </c>
      <c r="C20" s="18" t="s">
        <v>88</v>
      </c>
      <c r="D20" s="23" t="n">
        <v>5</v>
      </c>
      <c r="E20" s="6" t="n">
        <f aca="false">დაშვებები!$D$30</f>
        <v>25</v>
      </c>
      <c r="F20" s="22" t="n">
        <f aca="false">D20*E20</f>
        <v>125</v>
      </c>
      <c r="G20" s="7" t="s">
        <v>175</v>
      </c>
    </row>
    <row r="21" customFormat="false" ht="15" hidden="false" customHeight="false" outlineLevel="0" collapsed="false">
      <c r="A21" s="11"/>
      <c r="B21" s="9" t="s">
        <v>176</v>
      </c>
      <c r="C21" s="11"/>
      <c r="D21" s="11"/>
      <c r="E21" s="11"/>
      <c r="F21" s="10" t="n">
        <f aca="false">SUM(F5:F20)</f>
        <v>11695</v>
      </c>
      <c r="G21" s="11"/>
    </row>
    <row r="23" customFormat="false" ht="15" hidden="false" customHeight="false" outlineLevel="0" collapsed="false">
      <c r="B23" s="2" t="s">
        <v>177</v>
      </c>
    </row>
  </sheetData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&amp;Lstandard&amp;R&amp;P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9.7" hidden="false" customHeight="false" outlineLevel="0" collapsed="false">
      <c r="B1" s="1" t="s">
        <v>178</v>
      </c>
    </row>
    <row r="2" customFormat="false" ht="15" hidden="false" customHeight="false" outlineLevel="0" collapsed="false">
      <c r="B2" s="2" t="s">
        <v>152</v>
      </c>
    </row>
    <row r="4" customFormat="false" ht="15" hidden="false" customHeight="false" outlineLevel="0" collapsed="false">
      <c r="A4" s="4" t="s">
        <v>50</v>
      </c>
      <c r="B4" s="4" t="s">
        <v>78</v>
      </c>
      <c r="C4" s="4" t="s">
        <v>52</v>
      </c>
      <c r="D4" s="4" t="s">
        <v>153</v>
      </c>
      <c r="E4" s="4" t="s">
        <v>154</v>
      </c>
      <c r="F4" s="4" t="s">
        <v>155</v>
      </c>
      <c r="G4" s="4" t="s">
        <v>7</v>
      </c>
    </row>
    <row r="5" customFormat="false" ht="15" hidden="false" customHeight="false" outlineLevel="0" collapsed="false">
      <c r="A5" s="18" t="n">
        <v>1</v>
      </c>
      <c r="B5" s="14" t="s">
        <v>156</v>
      </c>
      <c r="C5" s="18" t="s">
        <v>81</v>
      </c>
      <c r="D5" s="23" t="n">
        <v>28</v>
      </c>
      <c r="E5" s="6" t="n">
        <f aca="false">დაშვებები!$D$16</f>
        <v>45</v>
      </c>
      <c r="F5" s="22" t="n">
        <f aca="false">D5*E5</f>
        <v>1260</v>
      </c>
      <c r="G5" s="7" t="s">
        <v>157</v>
      </c>
    </row>
    <row r="6" customFormat="false" ht="15" hidden="false" customHeight="false" outlineLevel="0" collapsed="false">
      <c r="A6" s="18" t="n">
        <v>2</v>
      </c>
      <c r="B6" s="14" t="s">
        <v>158</v>
      </c>
      <c r="C6" s="18" t="s">
        <v>81</v>
      </c>
      <c r="D6" s="24" t="n">
        <f aca="false">ROUND(D5*(1+დაშვებები!$D$11),1)</f>
        <v>30</v>
      </c>
      <c r="E6" s="6" t="n">
        <f aca="false">დაშვებები!$D$15</f>
        <v>140</v>
      </c>
      <c r="F6" s="22" t="n">
        <f aca="false">D6*E6</f>
        <v>4200</v>
      </c>
      <c r="G6" s="7" t="s">
        <v>159</v>
      </c>
    </row>
    <row r="7" customFormat="false" ht="15" hidden="false" customHeight="false" outlineLevel="0" collapsed="false">
      <c r="A7" s="18" t="n">
        <v>3</v>
      </c>
      <c r="B7" s="14" t="s">
        <v>160</v>
      </c>
      <c r="C7" s="18" t="s">
        <v>88</v>
      </c>
      <c r="D7" s="23" t="n">
        <v>8</v>
      </c>
      <c r="E7" s="6" t="n">
        <f aca="false">დაშვებები!$D$17</f>
        <v>76</v>
      </c>
      <c r="F7" s="22" t="n">
        <f aca="false">D7*E7</f>
        <v>608</v>
      </c>
      <c r="G7" s="7"/>
    </row>
    <row r="8" customFormat="false" ht="15" hidden="false" customHeight="false" outlineLevel="0" collapsed="false">
      <c r="A8" s="18" t="n">
        <v>4</v>
      </c>
      <c r="B8" s="14" t="s">
        <v>161</v>
      </c>
      <c r="C8" s="18" t="s">
        <v>92</v>
      </c>
      <c r="D8" s="23" t="n">
        <v>10</v>
      </c>
      <c r="E8" s="6" t="n">
        <f aca="false">დაშვებები!$D$18</f>
        <v>34</v>
      </c>
      <c r="F8" s="22" t="n">
        <f aca="false">D8*E8</f>
        <v>340</v>
      </c>
      <c r="G8" s="7"/>
    </row>
    <row r="9" customFormat="false" ht="15" hidden="false" customHeight="false" outlineLevel="0" collapsed="false">
      <c r="A9" s="18" t="n">
        <v>5</v>
      </c>
      <c r="B9" s="14" t="s">
        <v>162</v>
      </c>
      <c r="C9" s="18" t="s">
        <v>96</v>
      </c>
      <c r="D9" s="23" t="n">
        <v>22</v>
      </c>
      <c r="E9" s="6" t="n">
        <f aca="false">დაშვებები!$D$19</f>
        <v>25</v>
      </c>
      <c r="F9" s="22" t="n">
        <f aca="false">D9*E9</f>
        <v>550</v>
      </c>
      <c r="G9" s="7"/>
    </row>
    <row r="10" customFormat="false" ht="15" hidden="false" customHeight="false" outlineLevel="0" collapsed="false">
      <c r="A10" s="18" t="n">
        <v>6</v>
      </c>
      <c r="B10" s="14" t="s">
        <v>163</v>
      </c>
      <c r="C10" s="18" t="s">
        <v>92</v>
      </c>
      <c r="D10" s="23" t="n">
        <v>2</v>
      </c>
      <c r="E10" s="6" t="n">
        <f aca="false">დაშვებები!$D$20</f>
        <v>230</v>
      </c>
      <c r="F10" s="22" t="n">
        <f aca="false">D10*E10</f>
        <v>460</v>
      </c>
      <c r="G10" s="7"/>
    </row>
    <row r="11" customFormat="false" ht="15" hidden="false" customHeight="false" outlineLevel="0" collapsed="false">
      <c r="A11" s="18" t="n">
        <v>7</v>
      </c>
      <c r="B11" s="14" t="s">
        <v>102</v>
      </c>
      <c r="C11" s="18" t="s">
        <v>92</v>
      </c>
      <c r="D11" s="23" t="n">
        <v>1</v>
      </c>
      <c r="E11" s="6" t="n">
        <f aca="false">დაშვებები!$D$21</f>
        <v>250</v>
      </c>
      <c r="F11" s="22" t="n">
        <f aca="false">D11*E11</f>
        <v>250</v>
      </c>
      <c r="G11" s="7"/>
    </row>
    <row r="12" customFormat="false" ht="15" hidden="false" customHeight="false" outlineLevel="0" collapsed="false">
      <c r="A12" s="18" t="n">
        <v>8</v>
      </c>
      <c r="B12" s="14" t="s">
        <v>164</v>
      </c>
      <c r="C12" s="18" t="s">
        <v>92</v>
      </c>
      <c r="D12" s="23" t="n">
        <v>1</v>
      </c>
      <c r="E12" s="6" t="n">
        <f aca="false">დაშვებები!$D$22</f>
        <v>389</v>
      </c>
      <c r="F12" s="22" t="n">
        <f aca="false">D12*E12</f>
        <v>389</v>
      </c>
      <c r="G12" s="7"/>
    </row>
    <row r="13" customFormat="false" ht="15" hidden="false" customHeight="false" outlineLevel="0" collapsed="false">
      <c r="A13" s="18" t="n">
        <v>9</v>
      </c>
      <c r="B13" s="14" t="s">
        <v>165</v>
      </c>
      <c r="C13" s="18" t="s">
        <v>92</v>
      </c>
      <c r="D13" s="23" t="n">
        <v>1</v>
      </c>
      <c r="E13" s="6" t="n">
        <f aca="false">დაშვებები!$D$23</f>
        <v>180</v>
      </c>
      <c r="F13" s="22" t="n">
        <f aca="false">D13*E13</f>
        <v>180</v>
      </c>
      <c r="G13" s="7"/>
    </row>
    <row r="14" customFormat="false" ht="15" hidden="false" customHeight="false" outlineLevel="0" collapsed="false">
      <c r="A14" s="18" t="n">
        <v>10</v>
      </c>
      <c r="B14" s="14" t="s">
        <v>166</v>
      </c>
      <c r="C14" s="18" t="s">
        <v>92</v>
      </c>
      <c r="D14" s="23" t="n">
        <v>2</v>
      </c>
      <c r="E14" s="6" t="n">
        <f aca="false">დაშვებები!$D$24</f>
        <v>306</v>
      </c>
      <c r="F14" s="22" t="n">
        <f aca="false">D14*E14</f>
        <v>612</v>
      </c>
      <c r="G14" s="7"/>
    </row>
    <row r="15" customFormat="false" ht="15" hidden="false" customHeight="false" outlineLevel="0" collapsed="false">
      <c r="A15" s="18" t="n">
        <v>11</v>
      </c>
      <c r="B15" s="14" t="s">
        <v>167</v>
      </c>
      <c r="C15" s="18" t="s">
        <v>92</v>
      </c>
      <c r="D15" s="23" t="n">
        <v>1</v>
      </c>
      <c r="E15" s="6" t="n">
        <f aca="false">დაშვებები!$D$25</f>
        <v>1621</v>
      </c>
      <c r="F15" s="22" t="n">
        <f aca="false">D15*E15</f>
        <v>1621</v>
      </c>
      <c r="G15" s="7"/>
    </row>
    <row r="16" customFormat="false" ht="15" hidden="false" customHeight="false" outlineLevel="0" collapsed="false">
      <c r="A16" s="18" t="n">
        <v>12</v>
      </c>
      <c r="B16" s="14" t="s">
        <v>169</v>
      </c>
      <c r="C16" s="18" t="s">
        <v>92</v>
      </c>
      <c r="D16" s="23" t="n">
        <v>2</v>
      </c>
      <c r="E16" s="6" t="n">
        <f aca="false">დაშვებები!$D$26</f>
        <v>937</v>
      </c>
      <c r="F16" s="22" t="n">
        <f aca="false">D16*E16</f>
        <v>1874</v>
      </c>
      <c r="G16" s="7"/>
    </row>
    <row r="17" customFormat="false" ht="15" hidden="false" customHeight="false" outlineLevel="0" collapsed="false">
      <c r="A17" s="18" t="n">
        <v>13</v>
      </c>
      <c r="B17" s="14" t="s">
        <v>170</v>
      </c>
      <c r="C17" s="18" t="s">
        <v>92</v>
      </c>
      <c r="D17" s="23" t="n">
        <v>1</v>
      </c>
      <c r="E17" s="6" t="n">
        <f aca="false">დაშვებები!$D$27</f>
        <v>750</v>
      </c>
      <c r="F17" s="22" t="n">
        <f aca="false">D17*E17</f>
        <v>750</v>
      </c>
      <c r="G17" s="7"/>
    </row>
    <row r="18" customFormat="false" ht="15" hidden="false" customHeight="false" outlineLevel="0" collapsed="false">
      <c r="A18" s="18" t="n">
        <v>14</v>
      </c>
      <c r="B18" s="14" t="s">
        <v>171</v>
      </c>
      <c r="C18" s="18" t="s">
        <v>92</v>
      </c>
      <c r="D18" s="23" t="n">
        <v>1</v>
      </c>
      <c r="E18" s="6" t="n">
        <f aca="false">დაშვებები!$D$28</f>
        <v>359</v>
      </c>
      <c r="F18" s="22" t="n">
        <f aca="false">D18*E18</f>
        <v>359</v>
      </c>
      <c r="G18" s="7"/>
    </row>
    <row r="19" customFormat="false" ht="15" hidden="false" customHeight="false" outlineLevel="0" collapsed="false">
      <c r="A19" s="18" t="n">
        <v>15</v>
      </c>
      <c r="B19" s="14" t="s">
        <v>172</v>
      </c>
      <c r="C19" s="18" t="s">
        <v>81</v>
      </c>
      <c r="D19" s="23" t="n">
        <v>60</v>
      </c>
      <c r="E19" s="6" t="n">
        <f aca="false">დაშვებები!$D$29</f>
        <v>20</v>
      </c>
      <c r="F19" s="22" t="n">
        <f aca="false">D19*E19</f>
        <v>1200</v>
      </c>
      <c r="G19" s="7" t="s">
        <v>173</v>
      </c>
    </row>
    <row r="20" customFormat="false" ht="15" hidden="false" customHeight="false" outlineLevel="0" collapsed="false">
      <c r="A20" s="18" t="n">
        <v>16</v>
      </c>
      <c r="B20" s="14" t="s">
        <v>174</v>
      </c>
      <c r="C20" s="18" t="s">
        <v>88</v>
      </c>
      <c r="D20" s="23" t="n">
        <v>7.5</v>
      </c>
      <c r="E20" s="6" t="n">
        <f aca="false">დაშვებები!$D$30</f>
        <v>25</v>
      </c>
      <c r="F20" s="22" t="n">
        <f aca="false">D20*E20</f>
        <v>187.5</v>
      </c>
      <c r="G20" s="7"/>
    </row>
    <row r="21" customFormat="false" ht="15" hidden="false" customHeight="false" outlineLevel="0" collapsed="false">
      <c r="A21" s="11"/>
      <c r="B21" s="9" t="s">
        <v>176</v>
      </c>
      <c r="C21" s="11"/>
      <c r="D21" s="11"/>
      <c r="E21" s="11"/>
      <c r="F21" s="10" t="n">
        <f aca="false">SUM(F5:F20)</f>
        <v>14840.5</v>
      </c>
      <c r="G21" s="11"/>
    </row>
    <row r="23" customFormat="false" ht="15" hidden="false" customHeight="false" outlineLevel="0" collapsed="false">
      <c r="B23" s="2" t="s">
        <v>179</v>
      </c>
    </row>
  </sheetData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&amp;Lexecutive&amp;R&amp;P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9.7" hidden="false" customHeight="false" outlineLevel="0" collapsed="false">
      <c r="B1" s="1" t="s">
        <v>180</v>
      </c>
    </row>
    <row r="2" customFormat="false" ht="15" hidden="false" customHeight="false" outlineLevel="0" collapsed="false">
      <c r="B2" s="2" t="s">
        <v>152</v>
      </c>
    </row>
    <row r="4" customFormat="false" ht="15" hidden="false" customHeight="false" outlineLevel="0" collapsed="false">
      <c r="A4" s="4" t="s">
        <v>50</v>
      </c>
      <c r="B4" s="4" t="s">
        <v>78</v>
      </c>
      <c r="C4" s="4" t="s">
        <v>52</v>
      </c>
      <c r="D4" s="4" t="s">
        <v>153</v>
      </c>
      <c r="E4" s="4" t="s">
        <v>154</v>
      </c>
      <c r="F4" s="4" t="s">
        <v>155</v>
      </c>
      <c r="G4" s="4" t="s">
        <v>7</v>
      </c>
    </row>
    <row r="5" customFormat="false" ht="15" hidden="false" customHeight="false" outlineLevel="0" collapsed="false">
      <c r="A5" s="18" t="n">
        <v>1</v>
      </c>
      <c r="B5" s="14" t="s">
        <v>172</v>
      </c>
      <c r="C5" s="18" t="s">
        <v>81</v>
      </c>
      <c r="D5" s="23" t="n">
        <v>250</v>
      </c>
      <c r="E5" s="6" t="n">
        <f aca="false">დაშვებები!$D$29</f>
        <v>20</v>
      </c>
      <c r="F5" s="22" t="n">
        <f aca="false">D5*E5</f>
        <v>5000</v>
      </c>
      <c r="G5" s="7" t="s">
        <v>173</v>
      </c>
    </row>
    <row r="6" customFormat="false" ht="15" hidden="false" customHeight="false" outlineLevel="0" collapsed="false">
      <c r="A6" s="18" t="n">
        <v>2</v>
      </c>
      <c r="B6" s="14" t="s">
        <v>174</v>
      </c>
      <c r="C6" s="18" t="s">
        <v>88</v>
      </c>
      <c r="D6" s="23" t="n">
        <v>30</v>
      </c>
      <c r="E6" s="6" t="n">
        <f aca="false">დაშვებები!$D$30</f>
        <v>25</v>
      </c>
      <c r="F6" s="22" t="n">
        <f aca="false">D6*E6</f>
        <v>750</v>
      </c>
      <c r="G6" s="7"/>
    </row>
    <row r="7" customFormat="false" ht="15" hidden="false" customHeight="false" outlineLevel="0" collapsed="false">
      <c r="A7" s="18" t="n">
        <v>3</v>
      </c>
      <c r="B7" s="14" t="s">
        <v>181</v>
      </c>
      <c r="C7" s="18" t="s">
        <v>81</v>
      </c>
      <c r="D7" s="23" t="n">
        <v>108</v>
      </c>
      <c r="E7" s="6" t="n">
        <f aca="false">დაშვებები!$D$31</f>
        <v>63.13</v>
      </c>
      <c r="F7" s="22" t="n">
        <f aca="false">D7*E7</f>
        <v>6818.04</v>
      </c>
      <c r="G7" s="7" t="s">
        <v>182</v>
      </c>
    </row>
    <row r="8" customFormat="false" ht="15" hidden="false" customHeight="false" outlineLevel="0" collapsed="false">
      <c r="A8" s="18" t="n">
        <v>4</v>
      </c>
      <c r="B8" s="14" t="s">
        <v>183</v>
      </c>
      <c r="C8" s="18" t="s">
        <v>81</v>
      </c>
      <c r="D8" s="23" t="n">
        <v>108</v>
      </c>
      <c r="E8" s="6" t="n">
        <f aca="false">დაშვებები!$D$32</f>
        <v>15</v>
      </c>
      <c r="F8" s="22" t="n">
        <f aca="false">D8*E8</f>
        <v>1620</v>
      </c>
      <c r="G8" s="7"/>
    </row>
    <row r="9" customFormat="false" ht="15" hidden="false" customHeight="false" outlineLevel="0" collapsed="false">
      <c r="A9" s="11"/>
      <c r="B9" s="9" t="s">
        <v>176</v>
      </c>
      <c r="C9" s="11"/>
      <c r="D9" s="11"/>
      <c r="E9" s="11"/>
      <c r="F9" s="10" t="n">
        <f aca="false">SUM(F5:F8)</f>
        <v>14188.04</v>
      </c>
      <c r="G9" s="11"/>
    </row>
  </sheetData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&amp;Lcorridor&amp;R&amp;P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52"/>
  </cols>
  <sheetData>
    <row r="1" customFormat="false" ht="19.7" hidden="false" customHeight="false" outlineLevel="0" collapsed="false">
      <c r="B1" s="1" t="s">
        <v>184</v>
      </c>
    </row>
    <row r="2" customFormat="false" ht="15" hidden="false" customHeight="false" outlineLevel="0" collapsed="false">
      <c r="B2" s="2" t="s">
        <v>185</v>
      </c>
    </row>
    <row r="4" customFormat="false" ht="15" hidden="false" customHeight="false" outlineLevel="0" collapsed="false">
      <c r="A4" s="4" t="s">
        <v>50</v>
      </c>
      <c r="B4" s="4" t="s">
        <v>78</v>
      </c>
      <c r="C4" s="4" t="s">
        <v>52</v>
      </c>
      <c r="D4" s="4" t="s">
        <v>153</v>
      </c>
      <c r="E4" s="4" t="s">
        <v>154</v>
      </c>
      <c r="F4" s="4" t="s">
        <v>155</v>
      </c>
      <c r="G4" s="4" t="s">
        <v>7</v>
      </c>
    </row>
    <row r="5" customFormat="false" ht="15" hidden="false" customHeight="false" outlineLevel="0" collapsed="false">
      <c r="A5" s="18" t="n">
        <v>1</v>
      </c>
      <c r="B5" s="5" t="s">
        <v>186</v>
      </c>
      <c r="C5" s="18" t="s">
        <v>187</v>
      </c>
      <c r="D5" s="23" t="n">
        <v>14</v>
      </c>
      <c r="E5" s="6" t="n">
        <f aca="false">standard!F21</f>
        <v>11695</v>
      </c>
      <c r="F5" s="22" t="n">
        <f aca="false">D5*E5</f>
        <v>163730</v>
      </c>
      <c r="G5" s="25"/>
    </row>
    <row r="6" customFormat="false" ht="15" hidden="false" customHeight="false" outlineLevel="0" collapsed="false">
      <c r="A6" s="18" t="n">
        <v>2</v>
      </c>
      <c r="B6" s="5" t="s">
        <v>188</v>
      </c>
      <c r="C6" s="18" t="s">
        <v>187</v>
      </c>
      <c r="D6" s="23" t="n">
        <v>4</v>
      </c>
      <c r="E6" s="6" t="n">
        <f aca="false">executive!F21</f>
        <v>14840.5</v>
      </c>
      <c r="F6" s="22" t="n">
        <f aca="false">D6*E6</f>
        <v>59362</v>
      </c>
      <c r="G6" s="25"/>
    </row>
    <row r="7" customFormat="false" ht="15" hidden="false" customHeight="false" outlineLevel="0" collapsed="false">
      <c r="A7" s="18" t="n">
        <v>3</v>
      </c>
      <c r="B7" s="5" t="s">
        <v>189</v>
      </c>
      <c r="C7" s="18" t="s">
        <v>190</v>
      </c>
      <c r="D7" s="23" t="n">
        <v>1</v>
      </c>
      <c r="E7" s="6" t="n">
        <f aca="false">corridor!F9</f>
        <v>14188.04</v>
      </c>
      <c r="F7" s="22" t="n">
        <f aca="false">D7*E7</f>
        <v>14188.04</v>
      </c>
      <c r="G7" s="25"/>
    </row>
    <row r="8" customFormat="false" ht="15" hidden="false" customHeight="false" outlineLevel="0" collapsed="false">
      <c r="A8" s="18" t="n">
        <v>4</v>
      </c>
      <c r="B8" s="14" t="s">
        <v>191</v>
      </c>
      <c r="C8" s="18" t="s">
        <v>144</v>
      </c>
      <c r="D8" s="23" t="n">
        <v>15</v>
      </c>
      <c r="E8" s="6" t="n">
        <f aca="false">დაშვებები!$D$34</f>
        <v>370</v>
      </c>
      <c r="F8" s="22" t="n">
        <f aca="false">D8*E8</f>
        <v>5550</v>
      </c>
      <c r="G8" s="7" t="s">
        <v>192</v>
      </c>
    </row>
    <row r="9" customFormat="false" ht="15" hidden="false" customHeight="false" outlineLevel="0" collapsed="false">
      <c r="A9" s="26"/>
      <c r="B9" s="27" t="s">
        <v>193</v>
      </c>
      <c r="C9" s="26"/>
      <c r="D9" s="26"/>
      <c r="E9" s="26"/>
      <c r="F9" s="28" t="n">
        <f aca="false">SUM(F5:F8)</f>
        <v>242830.04</v>
      </c>
      <c r="G9" s="26"/>
    </row>
    <row r="10" customFormat="false" ht="15" hidden="false" customHeight="false" outlineLevel="0" collapsed="false">
      <c r="A10" s="5"/>
      <c r="B10" s="5" t="s">
        <v>21</v>
      </c>
      <c r="C10" s="5"/>
      <c r="D10" s="5"/>
      <c r="E10" s="5"/>
      <c r="F10" s="22" t="n">
        <f aca="false">F9*დაშვებები!$D$9</f>
        <v>24283.004</v>
      </c>
      <c r="G10" s="25" t="s">
        <v>194</v>
      </c>
    </row>
    <row r="11" customFormat="false" ht="15" hidden="false" customHeight="false" outlineLevel="0" collapsed="false">
      <c r="A11" s="11"/>
      <c r="B11" s="9" t="s">
        <v>195</v>
      </c>
      <c r="C11" s="11"/>
      <c r="D11" s="11"/>
      <c r="E11" s="11"/>
      <c r="F11" s="10" t="n">
        <f aca="false">F9+F10</f>
        <v>267113.044</v>
      </c>
      <c r="G11" s="29" t="s">
        <v>196</v>
      </c>
    </row>
    <row r="12" customFormat="false" ht="15" hidden="false" customHeight="false" outlineLevel="0" collapsed="false">
      <c r="A12" s="5"/>
      <c r="B12" s="5" t="s">
        <v>197</v>
      </c>
      <c r="C12" s="5"/>
      <c r="D12" s="5"/>
      <c r="E12" s="5"/>
      <c r="F12" s="30" t="n">
        <f aca="false">F11/დაშვებები!$D$6</f>
        <v>88433.3865254097</v>
      </c>
      <c r="G12" s="25" t="s">
        <v>198</v>
      </c>
    </row>
    <row r="14" customFormat="false" ht="30" hidden="false" customHeight="true" outlineLevel="0" collapsed="false">
      <c r="B14" s="31" t="s">
        <v>199</v>
      </c>
    </row>
  </sheetData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&amp;LTotal&amp;R&amp;P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6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46"/>
  </cols>
  <sheetData>
    <row r="1" customFormat="false" ht="19.7" hidden="false" customHeight="false" outlineLevel="0" collapsed="false">
      <c r="B1" s="1" t="s">
        <v>200</v>
      </c>
    </row>
    <row r="2" customFormat="false" ht="15" hidden="false" customHeight="false" outlineLevel="0" collapsed="false">
      <c r="B2" s="2" t="s">
        <v>201</v>
      </c>
    </row>
    <row r="4" customFormat="false" ht="23.85" hidden="false" customHeight="false" outlineLevel="0" collapsed="false">
      <c r="A4" s="4" t="s">
        <v>50</v>
      </c>
      <c r="B4" s="4" t="s">
        <v>202</v>
      </c>
      <c r="C4" s="4" t="s">
        <v>52</v>
      </c>
      <c r="D4" s="4" t="s">
        <v>203</v>
      </c>
      <c r="E4" s="4" t="s">
        <v>153</v>
      </c>
      <c r="F4" s="4" t="s">
        <v>155</v>
      </c>
      <c r="G4" s="4" t="s">
        <v>204</v>
      </c>
      <c r="H4" s="4" t="s">
        <v>55</v>
      </c>
      <c r="I4" s="4" t="s">
        <v>7</v>
      </c>
    </row>
    <row r="5" customFormat="false" ht="15" hidden="false" customHeight="false" outlineLevel="0" collapsed="false">
      <c r="A5" s="18" t="n">
        <v>1</v>
      </c>
      <c r="B5" s="14" t="s">
        <v>205</v>
      </c>
      <c r="C5" s="18" t="s">
        <v>81</v>
      </c>
      <c r="D5" s="18" t="s">
        <v>206</v>
      </c>
      <c r="E5" s="5"/>
      <c r="F5" s="8" t="n">
        <v>0</v>
      </c>
      <c r="G5" s="18" t="s">
        <v>207</v>
      </c>
      <c r="H5" s="18" t="s">
        <v>208</v>
      </c>
      <c r="I5" s="7"/>
    </row>
    <row r="6" customFormat="false" ht="15" hidden="false" customHeight="false" outlineLevel="0" collapsed="false">
      <c r="A6" s="18" t="n">
        <v>2</v>
      </c>
      <c r="B6" s="14" t="s">
        <v>209</v>
      </c>
      <c r="C6" s="18" t="s">
        <v>210</v>
      </c>
      <c r="D6" s="18" t="s">
        <v>206</v>
      </c>
      <c r="E6" s="5"/>
      <c r="F6" s="8" t="n">
        <v>0</v>
      </c>
      <c r="G6" s="18" t="s">
        <v>207</v>
      </c>
      <c r="H6" s="18" t="s">
        <v>208</v>
      </c>
      <c r="I6" s="7"/>
    </row>
    <row r="7" customFormat="false" ht="15" hidden="false" customHeight="false" outlineLevel="0" collapsed="false">
      <c r="A7" s="18" t="n">
        <v>3</v>
      </c>
      <c r="B7" s="14" t="s">
        <v>211</v>
      </c>
      <c r="C7" s="18"/>
      <c r="D7" s="18" t="s">
        <v>206</v>
      </c>
      <c r="E7" s="5"/>
      <c r="F7" s="8" t="n">
        <v>0</v>
      </c>
      <c r="G7" s="18" t="s">
        <v>207</v>
      </c>
      <c r="H7" s="18" t="s">
        <v>212</v>
      </c>
      <c r="I7" s="7"/>
    </row>
    <row r="8" customFormat="false" ht="15" hidden="false" customHeight="false" outlineLevel="0" collapsed="false">
      <c r="A8" s="18" t="n">
        <v>4</v>
      </c>
      <c r="B8" s="14" t="s">
        <v>213</v>
      </c>
      <c r="C8" s="18" t="s">
        <v>81</v>
      </c>
      <c r="D8" s="18" t="s">
        <v>206</v>
      </c>
      <c r="E8" s="5"/>
      <c r="F8" s="8" t="n">
        <v>0</v>
      </c>
      <c r="G8" s="18" t="s">
        <v>207</v>
      </c>
      <c r="H8" s="18" t="s">
        <v>212</v>
      </c>
      <c r="I8" s="7"/>
    </row>
    <row r="9" customFormat="false" ht="15" hidden="false" customHeight="false" outlineLevel="0" collapsed="false">
      <c r="A9" s="18" t="n">
        <v>5</v>
      </c>
      <c r="B9" s="14" t="s">
        <v>214</v>
      </c>
      <c r="C9" s="18" t="s">
        <v>215</v>
      </c>
      <c r="D9" s="18" t="s">
        <v>206</v>
      </c>
      <c r="E9" s="23" t="n">
        <v>18</v>
      </c>
      <c r="F9" s="8" t="n">
        <v>0</v>
      </c>
      <c r="G9" s="18" t="s">
        <v>207</v>
      </c>
      <c r="H9" s="18" t="s">
        <v>212</v>
      </c>
      <c r="I9" s="7"/>
    </row>
    <row r="10" customFormat="false" ht="15" hidden="false" customHeight="false" outlineLevel="0" collapsed="false">
      <c r="A10" s="18" t="n">
        <v>6</v>
      </c>
      <c r="B10" s="14" t="s">
        <v>216</v>
      </c>
      <c r="C10" s="18" t="s">
        <v>215</v>
      </c>
      <c r="D10" s="18" t="s">
        <v>206</v>
      </c>
      <c r="E10" s="23" t="n">
        <v>18</v>
      </c>
      <c r="F10" s="8" t="n">
        <v>0</v>
      </c>
      <c r="G10" s="18" t="s">
        <v>207</v>
      </c>
      <c r="H10" s="18" t="s">
        <v>208</v>
      </c>
      <c r="I10" s="7"/>
    </row>
    <row r="11" customFormat="false" ht="15" hidden="false" customHeight="false" outlineLevel="0" collapsed="false">
      <c r="A11" s="18" t="n">
        <v>7</v>
      </c>
      <c r="B11" s="14" t="s">
        <v>217</v>
      </c>
      <c r="C11" s="18"/>
      <c r="D11" s="18" t="s">
        <v>206</v>
      </c>
      <c r="E11" s="5"/>
      <c r="F11" s="8" t="n">
        <v>0</v>
      </c>
      <c r="G11" s="18" t="s">
        <v>207</v>
      </c>
      <c r="H11" s="18" t="s">
        <v>208</v>
      </c>
      <c r="I11" s="7"/>
    </row>
    <row r="12" customFormat="false" ht="15" hidden="false" customHeight="false" outlineLevel="0" collapsed="false">
      <c r="A12" s="18" t="n">
        <v>8</v>
      </c>
      <c r="B12" s="14" t="s">
        <v>218</v>
      </c>
      <c r="C12" s="18" t="s">
        <v>215</v>
      </c>
      <c r="D12" s="18" t="s">
        <v>206</v>
      </c>
      <c r="E12" s="23" t="n">
        <v>18</v>
      </c>
      <c r="F12" s="8" t="n">
        <v>0</v>
      </c>
      <c r="G12" s="18" t="s">
        <v>207</v>
      </c>
      <c r="H12" s="18" t="s">
        <v>208</v>
      </c>
      <c r="I12" s="7"/>
    </row>
    <row r="13" customFormat="false" ht="15" hidden="false" customHeight="false" outlineLevel="0" collapsed="false">
      <c r="A13" s="18" t="n">
        <v>9</v>
      </c>
      <c r="B13" s="14" t="s">
        <v>219</v>
      </c>
      <c r="C13" s="18"/>
      <c r="D13" s="18" t="s">
        <v>206</v>
      </c>
      <c r="E13" s="5"/>
      <c r="F13" s="8" t="n">
        <v>0</v>
      </c>
      <c r="G13" s="18" t="s">
        <v>207</v>
      </c>
      <c r="H13" s="18" t="s">
        <v>208</v>
      </c>
      <c r="I13" s="7"/>
    </row>
    <row r="14" customFormat="false" ht="15" hidden="false" customHeight="false" outlineLevel="0" collapsed="false">
      <c r="A14" s="18" t="n">
        <v>10</v>
      </c>
      <c r="B14" s="14" t="s">
        <v>183</v>
      </c>
      <c r="C14" s="18" t="s">
        <v>220</v>
      </c>
      <c r="D14" s="18" t="s">
        <v>206</v>
      </c>
      <c r="E14" s="23" t="n">
        <v>1</v>
      </c>
      <c r="F14" s="8" t="n">
        <v>1000</v>
      </c>
      <c r="G14" s="18" t="s">
        <v>221</v>
      </c>
      <c r="H14" s="18" t="s">
        <v>208</v>
      </c>
      <c r="I14" s="7" t="s">
        <v>222</v>
      </c>
    </row>
    <row r="15" customFormat="false" ht="15" hidden="false" customHeight="false" outlineLevel="0" collapsed="false">
      <c r="A15" s="18" t="n">
        <v>11</v>
      </c>
      <c r="B15" s="14" t="s">
        <v>223</v>
      </c>
      <c r="C15" s="18"/>
      <c r="D15" s="18" t="s">
        <v>206</v>
      </c>
      <c r="E15" s="5"/>
      <c r="F15" s="8" t="n">
        <v>0</v>
      </c>
      <c r="G15" s="18" t="s">
        <v>207</v>
      </c>
      <c r="H15" s="18" t="s">
        <v>212</v>
      </c>
      <c r="I15" s="7"/>
    </row>
    <row r="16" customFormat="false" ht="15" hidden="false" customHeight="false" outlineLevel="0" collapsed="false">
      <c r="A16" s="18" t="n">
        <v>12</v>
      </c>
      <c r="B16" s="14" t="s">
        <v>224</v>
      </c>
      <c r="C16" s="18"/>
      <c r="D16" s="18" t="s">
        <v>206</v>
      </c>
      <c r="E16" s="5"/>
      <c r="F16" s="8" t="n">
        <v>0</v>
      </c>
      <c r="G16" s="18" t="s">
        <v>207</v>
      </c>
      <c r="H16" s="18" t="s">
        <v>212</v>
      </c>
      <c r="I16" s="7"/>
    </row>
    <row r="17" customFormat="false" ht="15" hidden="false" customHeight="false" outlineLevel="0" collapsed="false">
      <c r="A17" s="18" t="n">
        <v>13</v>
      </c>
      <c r="B17" s="14" t="s">
        <v>225</v>
      </c>
      <c r="C17" s="18"/>
      <c r="D17" s="18" t="s">
        <v>206</v>
      </c>
      <c r="E17" s="5"/>
      <c r="F17" s="8" t="n">
        <v>0</v>
      </c>
      <c r="G17" s="18" t="s">
        <v>207</v>
      </c>
      <c r="H17" s="18" t="s">
        <v>208</v>
      </c>
      <c r="I17" s="7"/>
    </row>
    <row r="18" customFormat="false" ht="15" hidden="false" customHeight="false" outlineLevel="0" collapsed="false">
      <c r="A18" s="18" t="n">
        <v>14</v>
      </c>
      <c r="B18" s="14" t="s">
        <v>226</v>
      </c>
      <c r="C18" s="18"/>
      <c r="D18" s="18" t="s">
        <v>206</v>
      </c>
      <c r="E18" s="5"/>
      <c r="F18" s="8" t="n">
        <v>0</v>
      </c>
      <c r="G18" s="18" t="s">
        <v>207</v>
      </c>
      <c r="H18" s="18" t="s">
        <v>212</v>
      </c>
      <c r="I18" s="7"/>
    </row>
    <row r="19" customFormat="false" ht="15" hidden="false" customHeight="false" outlineLevel="0" collapsed="false">
      <c r="A19" s="18" t="n">
        <v>15</v>
      </c>
      <c r="B19" s="14" t="s">
        <v>227</v>
      </c>
      <c r="C19" s="18"/>
      <c r="D19" s="18" t="s">
        <v>206</v>
      </c>
      <c r="E19" s="5"/>
      <c r="F19" s="8" t="n">
        <v>0</v>
      </c>
      <c r="G19" s="18" t="s">
        <v>207</v>
      </c>
      <c r="H19" s="18" t="s">
        <v>208</v>
      </c>
      <c r="I19" s="7"/>
    </row>
    <row r="20" customFormat="false" ht="23.85" hidden="false" customHeight="false" outlineLevel="0" collapsed="false">
      <c r="A20" s="18" t="n">
        <v>16</v>
      </c>
      <c r="B20" s="14" t="s">
        <v>228</v>
      </c>
      <c r="C20" s="18" t="s">
        <v>81</v>
      </c>
      <c r="D20" s="18" t="s">
        <v>206</v>
      </c>
      <c r="E20" s="23" t="n">
        <v>162</v>
      </c>
      <c r="F20" s="8" t="n">
        <v>500</v>
      </c>
      <c r="G20" s="18" t="s">
        <v>229</v>
      </c>
      <c r="H20" s="18" t="s">
        <v>212</v>
      </c>
      <c r="I20" s="7" t="s">
        <v>230</v>
      </c>
    </row>
    <row r="21" customFormat="false" ht="15" hidden="false" customHeight="false" outlineLevel="0" collapsed="false">
      <c r="A21" s="18" t="n">
        <v>17</v>
      </c>
      <c r="B21" s="14" t="s">
        <v>231</v>
      </c>
      <c r="C21" s="18"/>
      <c r="D21" s="18" t="s">
        <v>206</v>
      </c>
      <c r="E21" s="5"/>
      <c r="F21" s="8" t="n">
        <v>0</v>
      </c>
      <c r="G21" s="18" t="s">
        <v>207</v>
      </c>
      <c r="H21" s="18" t="s">
        <v>208</v>
      </c>
      <c r="I21" s="7"/>
    </row>
    <row r="22" customFormat="false" ht="22.35" hidden="false" customHeight="false" outlineLevel="0" collapsed="false">
      <c r="A22" s="18" t="n">
        <v>18</v>
      </c>
      <c r="B22" s="14" t="s">
        <v>232</v>
      </c>
      <c r="C22" s="18" t="s">
        <v>81</v>
      </c>
      <c r="D22" s="8" t="n">
        <v>80</v>
      </c>
      <c r="E22" s="23" t="n">
        <v>30</v>
      </c>
      <c r="F22" s="22" t="n">
        <f aca="false">D22*E22</f>
        <v>2400</v>
      </c>
      <c r="G22" s="18" t="s">
        <v>229</v>
      </c>
      <c r="H22" s="18" t="s">
        <v>212</v>
      </c>
      <c r="I22" s="7" t="s">
        <v>233</v>
      </c>
    </row>
    <row r="23" customFormat="false" ht="15" hidden="false" customHeight="false" outlineLevel="0" collapsed="false">
      <c r="A23" s="18" t="n">
        <v>19</v>
      </c>
      <c r="B23" s="14" t="s">
        <v>234</v>
      </c>
      <c r="C23" s="18"/>
      <c r="D23" s="18" t="s">
        <v>206</v>
      </c>
      <c r="E23" s="5"/>
      <c r="F23" s="8" t="n">
        <v>0</v>
      </c>
      <c r="G23" s="18" t="s">
        <v>207</v>
      </c>
      <c r="H23" s="18" t="s">
        <v>208</v>
      </c>
      <c r="I23" s="7"/>
    </row>
    <row r="24" customFormat="false" ht="15" hidden="false" customHeight="false" outlineLevel="0" collapsed="false">
      <c r="A24" s="18" t="n">
        <v>20</v>
      </c>
      <c r="B24" s="14" t="s">
        <v>235</v>
      </c>
      <c r="C24" s="18" t="s">
        <v>210</v>
      </c>
      <c r="D24" s="8" t="n">
        <v>50</v>
      </c>
      <c r="E24" s="23" t="n">
        <v>8</v>
      </c>
      <c r="F24" s="22" t="n">
        <f aca="false">D24*E24</f>
        <v>400</v>
      </c>
      <c r="G24" s="18" t="s">
        <v>221</v>
      </c>
      <c r="H24" s="18" t="s">
        <v>208</v>
      </c>
      <c r="I24" s="7"/>
    </row>
    <row r="25" customFormat="false" ht="15" hidden="false" customHeight="false" outlineLevel="0" collapsed="false">
      <c r="A25" s="18" t="n">
        <v>21</v>
      </c>
      <c r="B25" s="14" t="s">
        <v>236</v>
      </c>
      <c r="C25" s="18"/>
      <c r="D25" s="18" t="s">
        <v>206</v>
      </c>
      <c r="E25" s="5"/>
      <c r="F25" s="8" t="n">
        <v>0</v>
      </c>
      <c r="G25" s="18" t="s">
        <v>207</v>
      </c>
      <c r="H25" s="18" t="s">
        <v>212</v>
      </c>
      <c r="I25" s="7"/>
    </row>
    <row r="26" customFormat="false" ht="15" hidden="false" customHeight="false" outlineLevel="0" collapsed="false">
      <c r="A26" s="18" t="n">
        <v>22</v>
      </c>
      <c r="B26" s="14" t="s">
        <v>237</v>
      </c>
      <c r="C26" s="18"/>
      <c r="D26" s="18" t="s">
        <v>206</v>
      </c>
      <c r="E26" s="5"/>
      <c r="F26" s="8" t="n">
        <v>0</v>
      </c>
      <c r="G26" s="18" t="s">
        <v>207</v>
      </c>
      <c r="H26" s="18" t="s">
        <v>212</v>
      </c>
      <c r="I26" s="7"/>
    </row>
    <row r="27" customFormat="false" ht="15" hidden="false" customHeight="false" outlineLevel="0" collapsed="false">
      <c r="A27" s="18" t="n">
        <v>23</v>
      </c>
      <c r="B27" s="14" t="s">
        <v>238</v>
      </c>
      <c r="C27" s="18"/>
      <c r="D27" s="18" t="s">
        <v>206</v>
      </c>
      <c r="E27" s="5"/>
      <c r="F27" s="8" t="n">
        <v>0</v>
      </c>
      <c r="G27" s="18" t="s">
        <v>207</v>
      </c>
      <c r="H27" s="18" t="s">
        <v>212</v>
      </c>
      <c r="I27" s="7"/>
    </row>
    <row r="28" customFormat="false" ht="15" hidden="false" customHeight="false" outlineLevel="0" collapsed="false">
      <c r="A28" s="18" t="n">
        <v>24</v>
      </c>
      <c r="B28" s="14" t="s">
        <v>239</v>
      </c>
      <c r="C28" s="18"/>
      <c r="D28" s="18" t="s">
        <v>206</v>
      </c>
      <c r="E28" s="5"/>
      <c r="F28" s="8" t="n">
        <v>0</v>
      </c>
      <c r="G28" s="18" t="s">
        <v>207</v>
      </c>
      <c r="H28" s="18" t="s">
        <v>208</v>
      </c>
      <c r="I28" s="7"/>
    </row>
    <row r="29" customFormat="false" ht="15" hidden="false" customHeight="false" outlineLevel="0" collapsed="false">
      <c r="A29" s="18" t="n">
        <v>25</v>
      </c>
      <c r="B29" s="14" t="s">
        <v>240</v>
      </c>
      <c r="C29" s="18"/>
      <c r="D29" s="18" t="s">
        <v>206</v>
      </c>
      <c r="E29" s="5"/>
      <c r="F29" s="8" t="n">
        <v>0</v>
      </c>
      <c r="G29" s="18" t="s">
        <v>207</v>
      </c>
      <c r="H29" s="18" t="s">
        <v>208</v>
      </c>
      <c r="I29" s="7"/>
    </row>
    <row r="30" customFormat="false" ht="15" hidden="false" customHeight="false" outlineLevel="0" collapsed="false">
      <c r="A30" s="18" t="n">
        <v>26</v>
      </c>
      <c r="B30" s="14" t="s">
        <v>241</v>
      </c>
      <c r="C30" s="18" t="s">
        <v>81</v>
      </c>
      <c r="D30" s="18" t="s">
        <v>206</v>
      </c>
      <c r="E30" s="32" t="n">
        <f aca="false">განზომილებები!$E$16</f>
        <v>34.8</v>
      </c>
      <c r="F30" s="8" t="n">
        <v>0</v>
      </c>
      <c r="G30" s="18" t="s">
        <v>207</v>
      </c>
      <c r="H30" s="18" t="s">
        <v>212</v>
      </c>
      <c r="I30" s="7" t="s">
        <v>242</v>
      </c>
    </row>
    <row r="31" customFormat="false" ht="15" hidden="false" customHeight="false" outlineLevel="0" collapsed="false">
      <c r="A31" s="18" t="n">
        <v>27</v>
      </c>
      <c r="B31" s="14" t="s">
        <v>243</v>
      </c>
      <c r="C31" s="18" t="s">
        <v>210</v>
      </c>
      <c r="D31" s="18" t="s">
        <v>206</v>
      </c>
      <c r="E31" s="23" t="n">
        <v>37</v>
      </c>
      <c r="F31" s="8" t="n">
        <v>0</v>
      </c>
      <c r="G31" s="18" t="s">
        <v>207</v>
      </c>
      <c r="H31" s="18" t="s">
        <v>212</v>
      </c>
      <c r="I31" s="7"/>
    </row>
    <row r="32" customFormat="false" ht="22.35" hidden="false" customHeight="false" outlineLevel="0" collapsed="false">
      <c r="A32" s="18" t="n">
        <v>28</v>
      </c>
      <c r="B32" s="14" t="s">
        <v>244</v>
      </c>
      <c r="C32" s="18" t="s">
        <v>210</v>
      </c>
      <c r="D32" s="8" t="n">
        <v>560</v>
      </c>
      <c r="E32" s="23" t="n">
        <v>19</v>
      </c>
      <c r="F32" s="22" t="n">
        <f aca="false">D32*E32</f>
        <v>10640</v>
      </c>
      <c r="G32" s="18" t="s">
        <v>229</v>
      </c>
      <c r="H32" s="18" t="s">
        <v>208</v>
      </c>
      <c r="I32" s="7" t="s">
        <v>245</v>
      </c>
    </row>
    <row r="33" customFormat="false" ht="15" hidden="false" customHeight="false" outlineLevel="0" collapsed="false">
      <c r="A33" s="18" t="n">
        <v>29</v>
      </c>
      <c r="B33" s="14" t="s">
        <v>246</v>
      </c>
      <c r="C33" s="18" t="s">
        <v>210</v>
      </c>
      <c r="D33" s="8" t="n">
        <v>343</v>
      </c>
      <c r="E33" s="23" t="n">
        <v>18</v>
      </c>
      <c r="F33" s="22" t="n">
        <f aca="false">D33*E33</f>
        <v>6174</v>
      </c>
      <c r="G33" s="18" t="s">
        <v>229</v>
      </c>
      <c r="H33" s="18" t="s">
        <v>208</v>
      </c>
      <c r="I33" s="7" t="s">
        <v>247</v>
      </c>
    </row>
    <row r="34" customFormat="false" ht="15" hidden="false" customHeight="false" outlineLevel="0" collapsed="false">
      <c r="A34" s="18" t="n">
        <v>30</v>
      </c>
      <c r="B34" s="14" t="s">
        <v>248</v>
      </c>
      <c r="C34" s="18" t="s">
        <v>96</v>
      </c>
      <c r="D34" s="8" t="n">
        <v>20.7</v>
      </c>
      <c r="E34" s="23" t="n">
        <v>150</v>
      </c>
      <c r="F34" s="22" t="n">
        <f aca="false">D34*E34</f>
        <v>3105</v>
      </c>
      <c r="G34" s="18" t="s">
        <v>229</v>
      </c>
      <c r="H34" s="18" t="s">
        <v>208</v>
      </c>
      <c r="I34" s="7" t="s">
        <v>249</v>
      </c>
    </row>
    <row r="35" customFormat="false" ht="15" hidden="false" customHeight="false" outlineLevel="0" collapsed="false">
      <c r="A35" s="18" t="n">
        <v>31</v>
      </c>
      <c r="B35" s="14" t="s">
        <v>250</v>
      </c>
      <c r="C35" s="18" t="s">
        <v>81</v>
      </c>
      <c r="D35" s="8" t="n">
        <v>40</v>
      </c>
      <c r="E35" s="23" t="n">
        <v>165</v>
      </c>
      <c r="F35" s="22" t="n">
        <f aca="false">D35*E35</f>
        <v>6600</v>
      </c>
      <c r="G35" s="18" t="s">
        <v>221</v>
      </c>
      <c r="H35" s="18" t="s">
        <v>212</v>
      </c>
      <c r="I35" s="7" t="s">
        <v>251</v>
      </c>
    </row>
    <row r="36" customFormat="false" ht="15" hidden="false" customHeight="false" outlineLevel="0" collapsed="false">
      <c r="A36" s="18" t="n">
        <v>32</v>
      </c>
      <c r="B36" s="14" t="s">
        <v>252</v>
      </c>
      <c r="C36" s="18"/>
      <c r="D36" s="18" t="s">
        <v>206</v>
      </c>
      <c r="E36" s="5"/>
      <c r="F36" s="8" t="n">
        <v>0</v>
      </c>
      <c r="G36" s="18" t="s">
        <v>207</v>
      </c>
      <c r="H36" s="18" t="s">
        <v>212</v>
      </c>
      <c r="I36" s="7"/>
    </row>
    <row r="37" customFormat="false" ht="15" hidden="false" customHeight="false" outlineLevel="0" collapsed="false">
      <c r="A37" s="18" t="n">
        <v>33</v>
      </c>
      <c r="B37" s="14" t="s">
        <v>253</v>
      </c>
      <c r="C37" s="18"/>
      <c r="D37" s="18" t="s">
        <v>206</v>
      </c>
      <c r="E37" s="5"/>
      <c r="F37" s="8" t="n">
        <v>0</v>
      </c>
      <c r="G37" s="18" t="s">
        <v>207</v>
      </c>
      <c r="H37" s="18" t="s">
        <v>212</v>
      </c>
      <c r="I37" s="7"/>
    </row>
    <row r="38" customFormat="false" ht="15" hidden="false" customHeight="false" outlineLevel="0" collapsed="false">
      <c r="A38" s="18" t="n">
        <v>34</v>
      </c>
      <c r="B38" s="14" t="s">
        <v>254</v>
      </c>
      <c r="C38" s="18"/>
      <c r="D38" s="18" t="s">
        <v>206</v>
      </c>
      <c r="E38" s="5"/>
      <c r="F38" s="8" t="n">
        <v>0</v>
      </c>
      <c r="G38" s="18" t="s">
        <v>207</v>
      </c>
      <c r="H38" s="18" t="s">
        <v>208</v>
      </c>
      <c r="I38" s="7"/>
    </row>
    <row r="39" customFormat="false" ht="15" hidden="false" customHeight="false" outlineLevel="0" collapsed="false">
      <c r="A39" s="18" t="n">
        <v>35</v>
      </c>
      <c r="B39" s="14" t="s">
        <v>255</v>
      </c>
      <c r="C39" s="18"/>
      <c r="D39" s="18" t="s">
        <v>206</v>
      </c>
      <c r="E39" s="5"/>
      <c r="F39" s="8" t="n">
        <v>0</v>
      </c>
      <c r="G39" s="18" t="s">
        <v>207</v>
      </c>
      <c r="H39" s="18" t="s">
        <v>208</v>
      </c>
      <c r="I39" s="7"/>
    </row>
    <row r="40" customFormat="false" ht="15" hidden="false" customHeight="false" outlineLevel="0" collapsed="false">
      <c r="A40" s="18" t="n">
        <v>36</v>
      </c>
      <c r="B40" s="14" t="s">
        <v>256</v>
      </c>
      <c r="C40" s="18"/>
      <c r="D40" s="18" t="s">
        <v>206</v>
      </c>
      <c r="E40" s="5"/>
      <c r="F40" s="8" t="n">
        <v>0</v>
      </c>
      <c r="G40" s="18" t="s">
        <v>207</v>
      </c>
      <c r="H40" s="18" t="s">
        <v>208</v>
      </c>
      <c r="I40" s="7"/>
    </row>
    <row r="41" customFormat="false" ht="15" hidden="false" customHeight="false" outlineLevel="0" collapsed="false">
      <c r="A41" s="18" t="n">
        <v>37</v>
      </c>
      <c r="B41" s="14" t="s">
        <v>257</v>
      </c>
      <c r="C41" s="18" t="s">
        <v>81</v>
      </c>
      <c r="D41" s="8" t="n">
        <v>300</v>
      </c>
      <c r="E41" s="23" t="n">
        <v>2.66</v>
      </c>
      <c r="F41" s="22" t="n">
        <f aca="false">D41*E41</f>
        <v>798</v>
      </c>
      <c r="G41" s="18" t="s">
        <v>221</v>
      </c>
      <c r="H41" s="18" t="s">
        <v>208</v>
      </c>
      <c r="I41" s="7" t="s">
        <v>258</v>
      </c>
    </row>
    <row r="42" customFormat="false" ht="22.35" hidden="false" customHeight="false" outlineLevel="0" collapsed="false">
      <c r="A42" s="18" t="n">
        <v>38</v>
      </c>
      <c r="B42" s="14" t="s">
        <v>259</v>
      </c>
      <c r="C42" s="18" t="s">
        <v>81</v>
      </c>
      <c r="D42" s="6" t="n">
        <f aca="false">დაშვებები!$D$33</f>
        <v>140</v>
      </c>
      <c r="E42" s="32" t="n">
        <f aca="false">განზომილებები!$E$23</f>
        <v>10.8416</v>
      </c>
      <c r="F42" s="22" t="n">
        <f aca="false">D42*E42</f>
        <v>1517.824</v>
      </c>
      <c r="G42" s="18" t="s">
        <v>221</v>
      </c>
      <c r="H42" s="18" t="s">
        <v>208</v>
      </c>
      <c r="I42" s="7" t="s">
        <v>260</v>
      </c>
    </row>
    <row r="43" customFormat="false" ht="15" hidden="false" customHeight="false" outlineLevel="0" collapsed="false">
      <c r="A43" s="11"/>
      <c r="B43" s="9" t="s">
        <v>176</v>
      </c>
      <c r="C43" s="11"/>
      <c r="D43" s="11"/>
      <c r="E43" s="11"/>
      <c r="F43" s="10" t="n">
        <f aca="false">SUM(F5:F42)</f>
        <v>33134.824</v>
      </c>
      <c r="G43" s="11"/>
      <c r="H43" s="11"/>
      <c r="I43" s="11"/>
    </row>
    <row r="45" customFormat="false" ht="15" hidden="false" customHeight="false" outlineLevel="0" collapsed="false">
      <c r="B45" s="3" t="s">
        <v>261</v>
      </c>
    </row>
    <row r="46" customFormat="false" ht="15" hidden="false" customHeight="false" outlineLevel="0" collapsed="false">
      <c r="B46" s="12" t="s">
        <v>262</v>
      </c>
      <c r="C46" s="12"/>
      <c r="D46" s="12"/>
      <c r="E46" s="12"/>
      <c r="F46" s="22" t="n">
        <f aca="false">SUMIF(G5:G42,"PAID",F5:F42)</f>
        <v>22819</v>
      </c>
    </row>
    <row r="47" customFormat="false" ht="15" hidden="false" customHeight="false" outlineLevel="0" collapsed="false">
      <c r="B47" s="12" t="s">
        <v>263</v>
      </c>
      <c r="C47" s="12"/>
      <c r="D47" s="12"/>
      <c r="E47" s="12"/>
      <c r="F47" s="22" t="n">
        <f aca="false">SUMIF(G5:G42,"UNPAID",F5:F42)</f>
        <v>10315.824</v>
      </c>
    </row>
    <row r="48" customFormat="false" ht="15" hidden="false" customHeight="false" outlineLevel="0" collapsed="false">
      <c r="B48" s="12" t="s">
        <v>264</v>
      </c>
      <c r="C48" s="12"/>
      <c r="D48" s="12"/>
      <c r="E48" s="12"/>
      <c r="F48" s="22" t="n">
        <f aca="false">SUMIF(G5:G42,"IN-HOUSE",F5:F42)</f>
        <v>0</v>
      </c>
    </row>
    <row r="49" customFormat="false" ht="15" hidden="false" customHeight="false" outlineLevel="0" collapsed="false">
      <c r="B49" s="12" t="s">
        <v>265</v>
      </c>
      <c r="C49" s="12"/>
      <c r="D49" s="12"/>
      <c r="E49" s="12"/>
      <c r="F49" s="22" t="n">
        <f aca="false">SUMIF(H5:H42,"DONE",F5:F42)</f>
        <v>9500</v>
      </c>
    </row>
    <row r="50" customFormat="false" ht="15" hidden="false" customHeight="false" outlineLevel="0" collapsed="false">
      <c r="B50" s="12" t="s">
        <v>266</v>
      </c>
      <c r="C50" s="12"/>
      <c r="D50" s="12"/>
      <c r="E50" s="12"/>
      <c r="F50" s="22" t="n">
        <f aca="false">SUMIF(H5:H42,"IN PROCESS",F5:F42)</f>
        <v>23634.824</v>
      </c>
    </row>
  </sheetData>
  <mergeCells count="5">
    <mergeCell ref="B46:E46"/>
    <mergeCell ref="B47:E47"/>
    <mergeCell ref="B48:E48"/>
    <mergeCell ref="B49:E49"/>
    <mergeCell ref="B50:E50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&amp;Lსამუშაო&amp;R&amp;P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50"/>
  </cols>
  <sheetData>
    <row r="1" customFormat="false" ht="19.7" hidden="false" customHeight="false" outlineLevel="0" collapsed="false">
      <c r="B1" s="1" t="s">
        <v>267</v>
      </c>
    </row>
    <row r="2" customFormat="false" ht="15" hidden="false" customHeight="false" outlineLevel="0" collapsed="false">
      <c r="B2" s="2" t="s">
        <v>268</v>
      </c>
    </row>
    <row r="4" customFormat="false" ht="23.85" hidden="false" customHeight="false" outlineLevel="0" collapsed="false">
      <c r="A4" s="4" t="s">
        <v>50</v>
      </c>
      <c r="B4" s="4" t="s">
        <v>269</v>
      </c>
      <c r="C4" s="4" t="s">
        <v>52</v>
      </c>
      <c r="D4" s="4" t="s">
        <v>154</v>
      </c>
      <c r="E4" s="4" t="s">
        <v>153</v>
      </c>
      <c r="F4" s="4" t="s">
        <v>155</v>
      </c>
      <c r="G4" s="4" t="s">
        <v>204</v>
      </c>
      <c r="H4" s="4" t="s">
        <v>55</v>
      </c>
      <c r="I4" s="4" t="s">
        <v>270</v>
      </c>
    </row>
    <row r="5" customFormat="false" ht="15" hidden="false" customHeight="false" outlineLevel="0" collapsed="false">
      <c r="A5" s="18" t="n">
        <v>1</v>
      </c>
      <c r="B5" s="14" t="s">
        <v>271</v>
      </c>
      <c r="C5" s="18" t="s">
        <v>92</v>
      </c>
      <c r="D5" s="8" t="n">
        <v>17.5</v>
      </c>
      <c r="E5" s="23" t="n">
        <v>12</v>
      </c>
      <c r="F5" s="22" t="n">
        <f aca="false">D5*E5</f>
        <v>210</v>
      </c>
      <c r="G5" s="18" t="s">
        <v>229</v>
      </c>
      <c r="H5" s="18" t="s">
        <v>212</v>
      </c>
      <c r="I5" s="7" t="s">
        <v>272</v>
      </c>
    </row>
    <row r="6" customFormat="false" ht="15" hidden="false" customHeight="false" outlineLevel="0" collapsed="false">
      <c r="A6" s="18" t="n">
        <v>2</v>
      </c>
      <c r="B6" s="14" t="s">
        <v>273</v>
      </c>
      <c r="C6" s="18" t="s">
        <v>274</v>
      </c>
      <c r="D6" s="8" t="n">
        <v>26</v>
      </c>
      <c r="E6" s="23" t="n">
        <v>1</v>
      </c>
      <c r="F6" s="22" t="n">
        <f aca="false">D6*E6</f>
        <v>26</v>
      </c>
      <c r="G6" s="18" t="s">
        <v>229</v>
      </c>
      <c r="H6" s="18" t="s">
        <v>212</v>
      </c>
      <c r="I6" s="7"/>
    </row>
    <row r="7" customFormat="false" ht="15" hidden="false" customHeight="false" outlineLevel="0" collapsed="false">
      <c r="A7" s="18" t="n">
        <v>3</v>
      </c>
      <c r="B7" s="14" t="s">
        <v>275</v>
      </c>
      <c r="C7" s="18" t="s">
        <v>274</v>
      </c>
      <c r="D7" s="8" t="n">
        <v>32</v>
      </c>
      <c r="E7" s="23" t="n">
        <v>1</v>
      </c>
      <c r="F7" s="22" t="n">
        <f aca="false">D7*E7</f>
        <v>32</v>
      </c>
      <c r="G7" s="18" t="s">
        <v>229</v>
      </c>
      <c r="H7" s="18" t="s">
        <v>212</v>
      </c>
      <c r="I7" s="7"/>
    </row>
    <row r="8" customFormat="false" ht="15" hidden="false" customHeight="false" outlineLevel="0" collapsed="false">
      <c r="A8" s="18" t="n">
        <v>4</v>
      </c>
      <c r="B8" s="14" t="s">
        <v>276</v>
      </c>
      <c r="C8" s="18" t="s">
        <v>277</v>
      </c>
      <c r="D8" s="8" t="n">
        <v>15</v>
      </c>
      <c r="E8" s="23" t="n">
        <v>40</v>
      </c>
      <c r="F8" s="22" t="n">
        <f aca="false">D8*E8</f>
        <v>600</v>
      </c>
      <c r="G8" s="18" t="s">
        <v>229</v>
      </c>
      <c r="H8" s="18" t="s">
        <v>212</v>
      </c>
      <c r="I8" s="7" t="s">
        <v>278</v>
      </c>
    </row>
    <row r="9" customFormat="false" ht="15" hidden="false" customHeight="false" outlineLevel="0" collapsed="false">
      <c r="A9" s="18" t="n">
        <v>5</v>
      </c>
      <c r="B9" s="14" t="s">
        <v>279</v>
      </c>
      <c r="C9" s="18" t="s">
        <v>92</v>
      </c>
      <c r="D9" s="8" t="n">
        <v>4</v>
      </c>
      <c r="E9" s="23" t="n">
        <v>20</v>
      </c>
      <c r="F9" s="22" t="n">
        <f aca="false">D9*E9</f>
        <v>80</v>
      </c>
      <c r="G9" s="18" t="s">
        <v>229</v>
      </c>
      <c r="H9" s="18" t="s">
        <v>212</v>
      </c>
      <c r="I9" s="7"/>
    </row>
    <row r="10" customFormat="false" ht="15" hidden="false" customHeight="false" outlineLevel="0" collapsed="false">
      <c r="A10" s="18" t="n">
        <v>6</v>
      </c>
      <c r="B10" s="14" t="s">
        <v>280</v>
      </c>
      <c r="C10" s="18" t="s">
        <v>281</v>
      </c>
      <c r="D10" s="8" t="n">
        <v>18</v>
      </c>
      <c r="E10" s="23" t="n">
        <v>2</v>
      </c>
      <c r="F10" s="22" t="n">
        <f aca="false">D10*E10</f>
        <v>36</v>
      </c>
      <c r="G10" s="18" t="s">
        <v>229</v>
      </c>
      <c r="H10" s="18" t="s">
        <v>212</v>
      </c>
      <c r="I10" s="7" t="s">
        <v>282</v>
      </c>
    </row>
    <row r="11" customFormat="false" ht="15" hidden="false" customHeight="false" outlineLevel="0" collapsed="false">
      <c r="A11" s="18" t="n">
        <v>7</v>
      </c>
      <c r="B11" s="14" t="s">
        <v>283</v>
      </c>
      <c r="C11" s="18" t="s">
        <v>284</v>
      </c>
      <c r="D11" s="8" t="n">
        <v>2</v>
      </c>
      <c r="E11" s="23" t="n">
        <v>30</v>
      </c>
      <c r="F11" s="22" t="n">
        <f aca="false">D11*E11</f>
        <v>60</v>
      </c>
      <c r="G11" s="18" t="s">
        <v>229</v>
      </c>
      <c r="H11" s="18" t="s">
        <v>212</v>
      </c>
      <c r="I11" s="7"/>
    </row>
    <row r="12" customFormat="false" ht="15" hidden="false" customHeight="false" outlineLevel="0" collapsed="false">
      <c r="A12" s="18" t="n">
        <v>8</v>
      </c>
      <c r="B12" s="14" t="s">
        <v>285</v>
      </c>
      <c r="C12" s="18" t="s">
        <v>92</v>
      </c>
      <c r="D12" s="8" t="n">
        <v>15</v>
      </c>
      <c r="E12" s="23" t="n">
        <v>1</v>
      </c>
      <c r="F12" s="22" t="n">
        <f aca="false">D12*E12</f>
        <v>15</v>
      </c>
      <c r="G12" s="18" t="s">
        <v>229</v>
      </c>
      <c r="H12" s="18" t="s">
        <v>212</v>
      </c>
      <c r="I12" s="7"/>
    </row>
    <row r="13" customFormat="false" ht="15" hidden="false" customHeight="false" outlineLevel="0" collapsed="false">
      <c r="A13" s="18" t="n">
        <v>9</v>
      </c>
      <c r="B13" s="14" t="s">
        <v>286</v>
      </c>
      <c r="C13" s="18" t="s">
        <v>92</v>
      </c>
      <c r="D13" s="8" t="n">
        <v>5.5</v>
      </c>
      <c r="E13" s="23" t="n">
        <v>30</v>
      </c>
      <c r="F13" s="22" t="n">
        <f aca="false">D13*E13</f>
        <v>165</v>
      </c>
      <c r="G13" s="18" t="s">
        <v>229</v>
      </c>
      <c r="H13" s="18" t="s">
        <v>212</v>
      </c>
      <c r="I13" s="7" t="s">
        <v>287</v>
      </c>
    </row>
    <row r="14" customFormat="false" ht="15" hidden="false" customHeight="false" outlineLevel="0" collapsed="false">
      <c r="A14" s="18" t="n">
        <v>10</v>
      </c>
      <c r="B14" s="14" t="s">
        <v>288</v>
      </c>
      <c r="C14" s="18" t="s">
        <v>96</v>
      </c>
      <c r="D14" s="8" t="n">
        <v>9</v>
      </c>
      <c r="E14" s="23" t="n">
        <v>20</v>
      </c>
      <c r="F14" s="22" t="n">
        <f aca="false">D14*E14</f>
        <v>180</v>
      </c>
      <c r="G14" s="18" t="s">
        <v>229</v>
      </c>
      <c r="H14" s="18" t="s">
        <v>212</v>
      </c>
      <c r="I14" s="7"/>
    </row>
    <row r="15" customFormat="false" ht="15" hidden="false" customHeight="false" outlineLevel="0" collapsed="false">
      <c r="A15" s="18" t="n">
        <v>11</v>
      </c>
      <c r="B15" s="14" t="s">
        <v>289</v>
      </c>
      <c r="C15" s="18" t="s">
        <v>92</v>
      </c>
      <c r="D15" s="8" t="n">
        <v>75</v>
      </c>
      <c r="E15" s="23" t="n">
        <v>4</v>
      </c>
      <c r="F15" s="22" t="n">
        <f aca="false">D15*E15</f>
        <v>300</v>
      </c>
      <c r="G15" s="18" t="s">
        <v>229</v>
      </c>
      <c r="H15" s="18" t="s">
        <v>212</v>
      </c>
      <c r="I15" s="7"/>
    </row>
    <row r="16" customFormat="false" ht="22.35" hidden="false" customHeight="false" outlineLevel="0" collapsed="false">
      <c r="A16" s="18" t="n">
        <v>12</v>
      </c>
      <c r="B16" s="14" t="s">
        <v>290</v>
      </c>
      <c r="C16" s="18" t="s">
        <v>291</v>
      </c>
      <c r="D16" s="8" t="n">
        <v>45</v>
      </c>
      <c r="E16" s="23" t="n">
        <v>6</v>
      </c>
      <c r="F16" s="22" t="n">
        <f aca="false">D16*E16</f>
        <v>270</v>
      </c>
      <c r="G16" s="18"/>
      <c r="H16" s="18"/>
      <c r="I16" s="7" t="s">
        <v>292</v>
      </c>
    </row>
    <row r="17" customFormat="false" ht="15" hidden="false" customHeight="false" outlineLevel="0" collapsed="false">
      <c r="A17" s="18" t="n">
        <v>13</v>
      </c>
      <c r="B17" s="14" t="s">
        <v>293</v>
      </c>
      <c r="C17" s="18" t="s">
        <v>92</v>
      </c>
      <c r="D17" s="8" t="n">
        <v>2.8</v>
      </c>
      <c r="E17" s="23" t="n">
        <v>100</v>
      </c>
      <c r="F17" s="22" t="n">
        <f aca="false">D17*E17</f>
        <v>280</v>
      </c>
      <c r="G17" s="18" t="s">
        <v>229</v>
      </c>
      <c r="H17" s="18" t="s">
        <v>212</v>
      </c>
      <c r="I17" s="7" t="s">
        <v>294</v>
      </c>
    </row>
    <row r="18" customFormat="false" ht="15" hidden="false" customHeight="false" outlineLevel="0" collapsed="false">
      <c r="A18" s="18" t="n">
        <v>14</v>
      </c>
      <c r="B18" s="14" t="s">
        <v>295</v>
      </c>
      <c r="C18" s="18" t="s">
        <v>92</v>
      </c>
      <c r="D18" s="8" t="n">
        <v>2.8</v>
      </c>
      <c r="E18" s="23" t="n">
        <v>100</v>
      </c>
      <c r="F18" s="22" t="n">
        <f aca="false">D18*E18</f>
        <v>280</v>
      </c>
      <c r="G18" s="18" t="s">
        <v>229</v>
      </c>
      <c r="H18" s="18" t="s">
        <v>212</v>
      </c>
      <c r="I18" s="7"/>
    </row>
    <row r="19" customFormat="false" ht="15" hidden="false" customHeight="false" outlineLevel="0" collapsed="false">
      <c r="A19" s="18" t="n">
        <v>15</v>
      </c>
      <c r="B19" s="14" t="s">
        <v>296</v>
      </c>
      <c r="C19" s="18" t="s">
        <v>92</v>
      </c>
      <c r="D19" s="8" t="n">
        <v>2.8</v>
      </c>
      <c r="E19" s="23" t="n">
        <v>50</v>
      </c>
      <c r="F19" s="22" t="n">
        <f aca="false">D19*E19</f>
        <v>140</v>
      </c>
      <c r="G19" s="18" t="s">
        <v>229</v>
      </c>
      <c r="H19" s="18" t="s">
        <v>212</v>
      </c>
      <c r="I19" s="7"/>
    </row>
    <row r="20" customFormat="false" ht="15" hidden="false" customHeight="false" outlineLevel="0" collapsed="false">
      <c r="A20" s="18" t="n">
        <v>16</v>
      </c>
      <c r="B20" s="14" t="s">
        <v>297</v>
      </c>
      <c r="C20" s="18" t="s">
        <v>92</v>
      </c>
      <c r="D20" s="8" t="n">
        <v>2.8</v>
      </c>
      <c r="E20" s="23" t="n">
        <v>50</v>
      </c>
      <c r="F20" s="22" t="n">
        <f aca="false">D20*E20</f>
        <v>140</v>
      </c>
      <c r="G20" s="18" t="s">
        <v>229</v>
      </c>
      <c r="H20" s="18" t="s">
        <v>212</v>
      </c>
      <c r="I20" s="7"/>
    </row>
    <row r="21" customFormat="false" ht="15" hidden="false" customHeight="false" outlineLevel="0" collapsed="false">
      <c r="A21" s="18" t="n">
        <v>17</v>
      </c>
      <c r="B21" s="14" t="s">
        <v>298</v>
      </c>
      <c r="C21" s="18" t="s">
        <v>299</v>
      </c>
      <c r="D21" s="8" t="n">
        <v>18</v>
      </c>
      <c r="E21" s="23" t="n">
        <v>2</v>
      </c>
      <c r="F21" s="22" t="n">
        <f aca="false">D21*E21</f>
        <v>36</v>
      </c>
      <c r="G21" s="18"/>
      <c r="H21" s="18"/>
      <c r="I21" s="7"/>
    </row>
    <row r="22" customFormat="false" ht="15" hidden="false" customHeight="false" outlineLevel="0" collapsed="false">
      <c r="A22" s="18" t="n">
        <v>18</v>
      </c>
      <c r="B22" s="14" t="s">
        <v>300</v>
      </c>
      <c r="C22" s="18" t="s">
        <v>92</v>
      </c>
      <c r="D22" s="8" t="n">
        <v>0.7</v>
      </c>
      <c r="E22" s="23" t="n">
        <v>100</v>
      </c>
      <c r="F22" s="22" t="n">
        <f aca="false">D22*E22</f>
        <v>70</v>
      </c>
      <c r="G22" s="18" t="s">
        <v>229</v>
      </c>
      <c r="H22" s="18" t="s">
        <v>212</v>
      </c>
      <c r="I22" s="7"/>
    </row>
    <row r="23" customFormat="false" ht="15" hidden="false" customHeight="false" outlineLevel="0" collapsed="false">
      <c r="A23" s="18" t="n">
        <v>19</v>
      </c>
      <c r="B23" s="14" t="s">
        <v>301</v>
      </c>
      <c r="C23" s="18" t="s">
        <v>92</v>
      </c>
      <c r="D23" s="8" t="n">
        <v>29</v>
      </c>
      <c r="E23" s="23" t="n">
        <v>20</v>
      </c>
      <c r="F23" s="22" t="n">
        <f aca="false">D23*E23</f>
        <v>580</v>
      </c>
      <c r="G23" s="18" t="s">
        <v>229</v>
      </c>
      <c r="H23" s="18" t="s">
        <v>212</v>
      </c>
      <c r="I23" s="7" t="s">
        <v>302</v>
      </c>
    </row>
    <row r="24" customFormat="false" ht="15" hidden="false" customHeight="false" outlineLevel="0" collapsed="false">
      <c r="A24" s="18" t="n">
        <v>20</v>
      </c>
      <c r="B24" s="14" t="s">
        <v>303</v>
      </c>
      <c r="C24" s="18" t="s">
        <v>92</v>
      </c>
      <c r="D24" s="8" t="n">
        <v>6</v>
      </c>
      <c r="E24" s="23" t="n">
        <v>10</v>
      </c>
      <c r="F24" s="22" t="n">
        <f aca="false">D24*E24</f>
        <v>60</v>
      </c>
      <c r="G24" s="18" t="s">
        <v>229</v>
      </c>
      <c r="H24" s="18" t="s">
        <v>212</v>
      </c>
      <c r="I24" s="7" t="s">
        <v>304</v>
      </c>
    </row>
    <row r="25" customFormat="false" ht="15" hidden="false" customHeight="false" outlineLevel="0" collapsed="false">
      <c r="A25" s="18" t="n">
        <v>21</v>
      </c>
      <c r="B25" s="14" t="s">
        <v>305</v>
      </c>
      <c r="C25" s="18" t="s">
        <v>274</v>
      </c>
      <c r="D25" s="8" t="n">
        <v>3</v>
      </c>
      <c r="E25" s="23" t="n">
        <v>20</v>
      </c>
      <c r="F25" s="22" t="n">
        <f aca="false">D25*E25</f>
        <v>60</v>
      </c>
      <c r="G25" s="18" t="s">
        <v>229</v>
      </c>
      <c r="H25" s="18" t="s">
        <v>212</v>
      </c>
      <c r="I25" s="7" t="s">
        <v>306</v>
      </c>
    </row>
    <row r="26" customFormat="false" ht="15" hidden="false" customHeight="false" outlineLevel="0" collapsed="false">
      <c r="A26" s="18" t="n">
        <v>22</v>
      </c>
      <c r="B26" s="14" t="s">
        <v>307</v>
      </c>
      <c r="C26" s="18" t="s">
        <v>92</v>
      </c>
      <c r="D26" s="8" t="n">
        <v>32</v>
      </c>
      <c r="E26" s="23" t="n">
        <v>2</v>
      </c>
      <c r="F26" s="22" t="n">
        <f aca="false">D26*E26</f>
        <v>64</v>
      </c>
      <c r="G26" s="18" t="s">
        <v>229</v>
      </c>
      <c r="H26" s="18" t="s">
        <v>212</v>
      </c>
      <c r="I26" s="7"/>
    </row>
    <row r="27" customFormat="false" ht="15" hidden="false" customHeight="false" outlineLevel="0" collapsed="false">
      <c r="A27" s="18" t="n">
        <v>23</v>
      </c>
      <c r="B27" s="14" t="s">
        <v>308</v>
      </c>
      <c r="C27" s="18" t="s">
        <v>92</v>
      </c>
      <c r="D27" s="8" t="n">
        <v>12</v>
      </c>
      <c r="E27" s="23" t="n">
        <v>3</v>
      </c>
      <c r="F27" s="22" t="n">
        <f aca="false">D27*E27</f>
        <v>36</v>
      </c>
      <c r="G27" s="18" t="s">
        <v>229</v>
      </c>
      <c r="H27" s="18" t="s">
        <v>212</v>
      </c>
      <c r="I27" s="7" t="s">
        <v>309</v>
      </c>
    </row>
    <row r="28" customFormat="false" ht="15" hidden="false" customHeight="false" outlineLevel="0" collapsed="false">
      <c r="A28" s="18" t="n">
        <v>24</v>
      </c>
      <c r="B28" s="14" t="s">
        <v>310</v>
      </c>
      <c r="C28" s="18" t="s">
        <v>92</v>
      </c>
      <c r="D28" s="8" t="n">
        <v>3</v>
      </c>
      <c r="E28" s="23" t="n">
        <v>10</v>
      </c>
      <c r="F28" s="22" t="n">
        <f aca="false">D28*E28</f>
        <v>30</v>
      </c>
      <c r="G28" s="18" t="s">
        <v>229</v>
      </c>
      <c r="H28" s="18" t="s">
        <v>212</v>
      </c>
      <c r="I28" s="7" t="s">
        <v>311</v>
      </c>
    </row>
    <row r="29" customFormat="false" ht="15" hidden="false" customHeight="false" outlineLevel="0" collapsed="false">
      <c r="A29" s="18" t="n">
        <v>25</v>
      </c>
      <c r="B29" s="14" t="s">
        <v>312</v>
      </c>
      <c r="C29" s="18" t="s">
        <v>92</v>
      </c>
      <c r="D29" s="8" t="n">
        <v>12</v>
      </c>
      <c r="E29" s="23" t="n">
        <v>1</v>
      </c>
      <c r="F29" s="22" t="n">
        <f aca="false">D29*E29</f>
        <v>12</v>
      </c>
      <c r="G29" s="18" t="s">
        <v>229</v>
      </c>
      <c r="H29" s="18" t="s">
        <v>212</v>
      </c>
      <c r="I29" s="7"/>
    </row>
    <row r="30" customFormat="false" ht="15" hidden="false" customHeight="false" outlineLevel="0" collapsed="false">
      <c r="A30" s="18" t="n">
        <v>26</v>
      </c>
      <c r="B30" s="14" t="s">
        <v>313</v>
      </c>
      <c r="C30" s="18" t="s">
        <v>92</v>
      </c>
      <c r="D30" s="8" t="n">
        <v>4</v>
      </c>
      <c r="E30" s="23" t="n">
        <v>2</v>
      </c>
      <c r="F30" s="22" t="n">
        <f aca="false">D30*E30</f>
        <v>8</v>
      </c>
      <c r="G30" s="18"/>
      <c r="H30" s="18"/>
      <c r="I30" s="7"/>
    </row>
    <row r="31" customFormat="false" ht="15" hidden="false" customHeight="false" outlineLevel="0" collapsed="false">
      <c r="A31" s="18" t="n">
        <v>27</v>
      </c>
      <c r="B31" s="14" t="s">
        <v>314</v>
      </c>
      <c r="C31" s="18" t="s">
        <v>92</v>
      </c>
      <c r="D31" s="8" t="n">
        <v>6</v>
      </c>
      <c r="E31" s="23" t="n">
        <v>4</v>
      </c>
      <c r="F31" s="22" t="n">
        <f aca="false">D31*E31</f>
        <v>24</v>
      </c>
      <c r="G31" s="18" t="s">
        <v>229</v>
      </c>
      <c r="H31" s="18" t="s">
        <v>212</v>
      </c>
      <c r="I31" s="7" t="s">
        <v>315</v>
      </c>
    </row>
    <row r="32" customFormat="false" ht="15" hidden="false" customHeight="false" outlineLevel="0" collapsed="false">
      <c r="A32" s="18" t="n">
        <v>28</v>
      </c>
      <c r="B32" s="14" t="s">
        <v>316</v>
      </c>
      <c r="C32" s="18" t="s">
        <v>291</v>
      </c>
      <c r="D32" s="8" t="n">
        <v>60</v>
      </c>
      <c r="E32" s="23" t="n">
        <v>4</v>
      </c>
      <c r="F32" s="22" t="n">
        <f aca="false">D32*E32</f>
        <v>240</v>
      </c>
      <c r="G32" s="18" t="s">
        <v>229</v>
      </c>
      <c r="H32" s="18" t="s">
        <v>212</v>
      </c>
      <c r="I32" s="7" t="s">
        <v>317</v>
      </c>
    </row>
    <row r="33" customFormat="false" ht="15" hidden="false" customHeight="false" outlineLevel="0" collapsed="false">
      <c r="A33" s="18" t="n">
        <v>29</v>
      </c>
      <c r="B33" s="14" t="s">
        <v>318</v>
      </c>
      <c r="C33" s="18" t="s">
        <v>92</v>
      </c>
      <c r="D33" s="8" t="n">
        <v>4</v>
      </c>
      <c r="E33" s="23" t="n">
        <v>15</v>
      </c>
      <c r="F33" s="22" t="n">
        <f aca="false">D33*E33</f>
        <v>60</v>
      </c>
      <c r="G33" s="18" t="s">
        <v>229</v>
      </c>
      <c r="H33" s="18" t="s">
        <v>212</v>
      </c>
      <c r="I33" s="7"/>
    </row>
    <row r="34" customFormat="false" ht="15" hidden="false" customHeight="false" outlineLevel="0" collapsed="false">
      <c r="A34" s="18" t="n">
        <v>30</v>
      </c>
      <c r="B34" s="14" t="s">
        <v>319</v>
      </c>
      <c r="C34" s="18" t="s">
        <v>92</v>
      </c>
      <c r="D34" s="8" t="n">
        <v>8</v>
      </c>
      <c r="E34" s="23" t="n">
        <v>10</v>
      </c>
      <c r="F34" s="22" t="n">
        <f aca="false">D34*E34</f>
        <v>80</v>
      </c>
      <c r="G34" s="18" t="s">
        <v>229</v>
      </c>
      <c r="H34" s="18" t="s">
        <v>212</v>
      </c>
      <c r="I34" s="7"/>
    </row>
    <row r="35" customFormat="false" ht="15" hidden="false" customHeight="false" outlineLevel="0" collapsed="false">
      <c r="A35" s="18" t="n">
        <v>31</v>
      </c>
      <c r="B35" s="14" t="s">
        <v>320</v>
      </c>
      <c r="C35" s="18" t="s">
        <v>92</v>
      </c>
      <c r="D35" s="8" t="n">
        <v>40</v>
      </c>
      <c r="E35" s="23" t="n">
        <v>2</v>
      </c>
      <c r="F35" s="22" t="n">
        <f aca="false">D35*E35</f>
        <v>80</v>
      </c>
      <c r="G35" s="18" t="s">
        <v>229</v>
      </c>
      <c r="H35" s="18" t="s">
        <v>212</v>
      </c>
      <c r="I35" s="7"/>
    </row>
    <row r="36" customFormat="false" ht="15" hidden="false" customHeight="false" outlineLevel="0" collapsed="false">
      <c r="A36" s="18" t="n">
        <v>32</v>
      </c>
      <c r="B36" s="14" t="s">
        <v>321</v>
      </c>
      <c r="C36" s="18" t="s">
        <v>92</v>
      </c>
      <c r="D36" s="8" t="n">
        <v>75</v>
      </c>
      <c r="E36" s="23" t="n">
        <v>10</v>
      </c>
      <c r="F36" s="22" t="n">
        <f aca="false">D36*E36</f>
        <v>750</v>
      </c>
      <c r="G36" s="18" t="s">
        <v>229</v>
      </c>
      <c r="H36" s="18" t="s">
        <v>212</v>
      </c>
      <c r="I36" s="7" t="s">
        <v>322</v>
      </c>
    </row>
    <row r="37" customFormat="false" ht="15" hidden="false" customHeight="false" outlineLevel="0" collapsed="false">
      <c r="A37" s="18" t="n">
        <v>33</v>
      </c>
      <c r="B37" s="14" t="s">
        <v>323</v>
      </c>
      <c r="C37" s="18" t="s">
        <v>281</v>
      </c>
      <c r="D37" s="8" t="n">
        <v>35</v>
      </c>
      <c r="E37" s="23" t="n">
        <v>15</v>
      </c>
      <c r="F37" s="22" t="n">
        <f aca="false">D37*E37</f>
        <v>525</v>
      </c>
      <c r="G37" s="18" t="s">
        <v>229</v>
      </c>
      <c r="H37" s="18" t="s">
        <v>212</v>
      </c>
      <c r="I37" s="7" t="s">
        <v>324</v>
      </c>
    </row>
    <row r="38" customFormat="false" ht="22.35" hidden="false" customHeight="false" outlineLevel="0" collapsed="false">
      <c r="A38" s="18" t="n">
        <v>34</v>
      </c>
      <c r="B38" s="14" t="s">
        <v>325</v>
      </c>
      <c r="C38" s="18" t="s">
        <v>299</v>
      </c>
      <c r="D38" s="8" t="n">
        <v>81.4</v>
      </c>
      <c r="E38" s="23" t="n">
        <v>86</v>
      </c>
      <c r="F38" s="22" t="n">
        <f aca="false">D38*E38</f>
        <v>7000.4</v>
      </c>
      <c r="G38" s="18" t="s">
        <v>229</v>
      </c>
      <c r="H38" s="18" t="s">
        <v>212</v>
      </c>
      <c r="I38" s="7" t="s">
        <v>326</v>
      </c>
    </row>
    <row r="39" customFormat="false" ht="15" hidden="false" customHeight="false" outlineLevel="0" collapsed="false">
      <c r="A39" s="18" t="n">
        <v>35</v>
      </c>
      <c r="B39" s="14" t="s">
        <v>327</v>
      </c>
      <c r="C39" s="18" t="s">
        <v>281</v>
      </c>
      <c r="D39" s="8" t="n">
        <v>230</v>
      </c>
      <c r="E39" s="23" t="n">
        <v>2</v>
      </c>
      <c r="F39" s="22" t="n">
        <f aca="false">D39*E39</f>
        <v>460</v>
      </c>
      <c r="G39" s="18" t="s">
        <v>229</v>
      </c>
      <c r="H39" s="18" t="s">
        <v>212</v>
      </c>
      <c r="I39" s="7" t="s">
        <v>328</v>
      </c>
    </row>
    <row r="40" customFormat="false" ht="15" hidden="false" customHeight="false" outlineLevel="0" collapsed="false">
      <c r="A40" s="18" t="n">
        <v>36</v>
      </c>
      <c r="B40" s="14" t="s">
        <v>329</v>
      </c>
      <c r="C40" s="18" t="s">
        <v>92</v>
      </c>
      <c r="D40" s="8" t="n">
        <v>0.85</v>
      </c>
      <c r="E40" s="23" t="n">
        <v>50</v>
      </c>
      <c r="F40" s="22" t="n">
        <f aca="false">D40*E40</f>
        <v>42.5</v>
      </c>
      <c r="G40" s="18" t="s">
        <v>229</v>
      </c>
      <c r="H40" s="18" t="s">
        <v>212</v>
      </c>
      <c r="I40" s="7"/>
    </row>
    <row r="41" customFormat="false" ht="15" hidden="false" customHeight="false" outlineLevel="0" collapsed="false">
      <c r="A41" s="18" t="n">
        <v>37</v>
      </c>
      <c r="B41" s="14" t="s">
        <v>330</v>
      </c>
      <c r="C41" s="18" t="s">
        <v>274</v>
      </c>
      <c r="D41" s="8" t="n">
        <v>6</v>
      </c>
      <c r="E41" s="23" t="n">
        <v>24</v>
      </c>
      <c r="F41" s="22" t="n">
        <f aca="false">D41*E41</f>
        <v>144</v>
      </c>
      <c r="G41" s="18" t="s">
        <v>229</v>
      </c>
      <c r="H41" s="18" t="s">
        <v>212</v>
      </c>
      <c r="I41" s="7"/>
    </row>
    <row r="42" customFormat="false" ht="15" hidden="false" customHeight="false" outlineLevel="0" collapsed="false">
      <c r="A42" s="18" t="n">
        <v>38</v>
      </c>
      <c r="B42" s="14" t="s">
        <v>331</v>
      </c>
      <c r="C42" s="18" t="s">
        <v>274</v>
      </c>
      <c r="D42" s="8" t="n">
        <v>14</v>
      </c>
      <c r="E42" s="23" t="n">
        <v>24</v>
      </c>
      <c r="F42" s="22" t="n">
        <f aca="false">D42*E42</f>
        <v>336</v>
      </c>
      <c r="G42" s="18" t="s">
        <v>229</v>
      </c>
      <c r="H42" s="18" t="s">
        <v>212</v>
      </c>
      <c r="I42" s="7" t="s">
        <v>332</v>
      </c>
    </row>
    <row r="43" customFormat="false" ht="15" hidden="false" customHeight="false" outlineLevel="0" collapsed="false">
      <c r="A43" s="18" t="n">
        <v>39</v>
      </c>
      <c r="B43" s="14" t="s">
        <v>333</v>
      </c>
      <c r="C43" s="18" t="s">
        <v>274</v>
      </c>
      <c r="D43" s="8" t="n">
        <v>20</v>
      </c>
      <c r="E43" s="23" t="n">
        <v>20</v>
      </c>
      <c r="F43" s="22" t="n">
        <f aca="false">D43*E43</f>
        <v>400</v>
      </c>
      <c r="G43" s="18" t="s">
        <v>229</v>
      </c>
      <c r="H43" s="18" t="s">
        <v>212</v>
      </c>
      <c r="I43" s="7" t="s">
        <v>334</v>
      </c>
    </row>
    <row r="44" customFormat="false" ht="15" hidden="false" customHeight="false" outlineLevel="0" collapsed="false">
      <c r="A44" s="18" t="n">
        <v>40</v>
      </c>
      <c r="B44" s="14" t="s">
        <v>335</v>
      </c>
      <c r="C44" s="18" t="s">
        <v>92</v>
      </c>
      <c r="D44" s="8" t="n">
        <v>114</v>
      </c>
      <c r="E44" s="23" t="n">
        <v>10</v>
      </c>
      <c r="F44" s="22" t="n">
        <f aca="false">D44*E44</f>
        <v>1140</v>
      </c>
      <c r="G44" s="18" t="s">
        <v>221</v>
      </c>
      <c r="H44" s="18"/>
      <c r="I44" s="7" t="s">
        <v>336</v>
      </c>
    </row>
    <row r="45" customFormat="false" ht="15" hidden="false" customHeight="false" outlineLevel="0" collapsed="false">
      <c r="A45" s="18" t="n">
        <v>41</v>
      </c>
      <c r="B45" s="14" t="s">
        <v>337</v>
      </c>
      <c r="C45" s="18" t="s">
        <v>92</v>
      </c>
      <c r="D45" s="8" t="n">
        <v>59.5</v>
      </c>
      <c r="E45" s="23" t="n">
        <v>12</v>
      </c>
      <c r="F45" s="22" t="n">
        <f aca="false">D45*E45</f>
        <v>714</v>
      </c>
      <c r="G45" s="18" t="s">
        <v>229</v>
      </c>
      <c r="H45" s="18"/>
      <c r="I45" s="7"/>
    </row>
    <row r="46" customFormat="false" ht="15" hidden="false" customHeight="false" outlineLevel="0" collapsed="false">
      <c r="A46" s="18" t="n">
        <v>42</v>
      </c>
      <c r="B46" s="14" t="s">
        <v>338</v>
      </c>
      <c r="C46" s="18" t="s">
        <v>92</v>
      </c>
      <c r="D46" s="8" t="n">
        <v>35</v>
      </c>
      <c r="E46" s="23" t="n">
        <v>65</v>
      </c>
      <c r="F46" s="22" t="n">
        <f aca="false">D46*E46</f>
        <v>2275</v>
      </c>
      <c r="G46" s="18" t="s">
        <v>229</v>
      </c>
      <c r="H46" s="18" t="s">
        <v>212</v>
      </c>
      <c r="I46" s="7" t="s">
        <v>339</v>
      </c>
    </row>
    <row r="47" customFormat="false" ht="15" hidden="false" customHeight="false" outlineLevel="0" collapsed="false">
      <c r="A47" s="18" t="n">
        <v>43</v>
      </c>
      <c r="B47" s="14" t="s">
        <v>340</v>
      </c>
      <c r="C47" s="18" t="s">
        <v>92</v>
      </c>
      <c r="D47" s="8" t="n">
        <v>1</v>
      </c>
      <c r="E47" s="23" t="n">
        <v>3000</v>
      </c>
      <c r="F47" s="22" t="n">
        <f aca="false">D47*E47</f>
        <v>3000</v>
      </c>
      <c r="G47" s="18" t="s">
        <v>229</v>
      </c>
      <c r="H47" s="18" t="s">
        <v>212</v>
      </c>
      <c r="I47" s="7" t="s">
        <v>341</v>
      </c>
    </row>
    <row r="48" customFormat="false" ht="15" hidden="false" customHeight="false" outlineLevel="0" collapsed="false">
      <c r="A48" s="18" t="n">
        <v>44</v>
      </c>
      <c r="B48" s="14" t="s">
        <v>323</v>
      </c>
      <c r="C48" s="18" t="s">
        <v>281</v>
      </c>
      <c r="D48" s="8" t="n">
        <v>35</v>
      </c>
      <c r="E48" s="23" t="n">
        <v>5</v>
      </c>
      <c r="F48" s="22" t="n">
        <f aca="false">D48*E48</f>
        <v>175</v>
      </c>
      <c r="G48" s="18" t="s">
        <v>229</v>
      </c>
      <c r="H48" s="18" t="s">
        <v>212</v>
      </c>
      <c r="I48" s="7"/>
    </row>
    <row r="49" customFormat="false" ht="15" hidden="false" customHeight="false" outlineLevel="0" collapsed="false">
      <c r="A49" s="18" t="n">
        <v>45</v>
      </c>
      <c r="B49" s="14" t="s">
        <v>342</v>
      </c>
      <c r="C49" s="18" t="s">
        <v>299</v>
      </c>
      <c r="D49" s="8" t="n">
        <v>185</v>
      </c>
      <c r="E49" s="23" t="n">
        <v>6</v>
      </c>
      <c r="F49" s="22" t="n">
        <f aca="false">D49*E49</f>
        <v>1110</v>
      </c>
      <c r="G49" s="18" t="s">
        <v>229</v>
      </c>
      <c r="H49" s="18" t="s">
        <v>212</v>
      </c>
      <c r="I49" s="7" t="s">
        <v>343</v>
      </c>
    </row>
    <row r="50" customFormat="false" ht="15" hidden="false" customHeight="false" outlineLevel="0" collapsed="false">
      <c r="A50" s="18" t="n">
        <v>46</v>
      </c>
      <c r="B50" s="14" t="s">
        <v>344</v>
      </c>
      <c r="C50" s="18" t="s">
        <v>92</v>
      </c>
      <c r="D50" s="8" t="n">
        <v>15</v>
      </c>
      <c r="E50" s="23" t="n">
        <v>2</v>
      </c>
      <c r="F50" s="22" t="n">
        <f aca="false">D50*E50</f>
        <v>30</v>
      </c>
      <c r="G50" s="18" t="s">
        <v>229</v>
      </c>
      <c r="H50" s="18" t="s">
        <v>212</v>
      </c>
      <c r="I50" s="7"/>
    </row>
    <row r="51" customFormat="false" ht="22.35" hidden="false" customHeight="false" outlineLevel="0" collapsed="false">
      <c r="A51" s="18" t="n">
        <v>47</v>
      </c>
      <c r="B51" s="14" t="s">
        <v>345</v>
      </c>
      <c r="C51" s="18" t="s">
        <v>92</v>
      </c>
      <c r="D51" s="8" t="n">
        <v>0.6</v>
      </c>
      <c r="E51" s="23" t="n">
        <v>200</v>
      </c>
      <c r="F51" s="22" t="n">
        <f aca="false">D51*E51</f>
        <v>120</v>
      </c>
      <c r="G51" s="18" t="s">
        <v>229</v>
      </c>
      <c r="H51" s="18" t="s">
        <v>212</v>
      </c>
      <c r="I51" s="7" t="s">
        <v>346</v>
      </c>
    </row>
    <row r="52" customFormat="false" ht="15" hidden="false" customHeight="false" outlineLevel="0" collapsed="false">
      <c r="A52" s="18" t="n">
        <v>48</v>
      </c>
      <c r="B52" s="14" t="s">
        <v>347</v>
      </c>
      <c r="C52" s="18" t="s">
        <v>92</v>
      </c>
      <c r="D52" s="8" t="n">
        <v>1</v>
      </c>
      <c r="E52" s="23" t="n">
        <v>30</v>
      </c>
      <c r="F52" s="22" t="n">
        <f aca="false">D52*E52</f>
        <v>30</v>
      </c>
      <c r="G52" s="18" t="s">
        <v>229</v>
      </c>
      <c r="H52" s="18" t="s">
        <v>212</v>
      </c>
      <c r="I52" s="7"/>
    </row>
    <row r="53" customFormat="false" ht="15" hidden="false" customHeight="false" outlineLevel="0" collapsed="false">
      <c r="A53" s="18" t="n">
        <v>49</v>
      </c>
      <c r="B53" s="14" t="s">
        <v>348</v>
      </c>
      <c r="C53" s="18" t="s">
        <v>92</v>
      </c>
      <c r="D53" s="8" t="n">
        <v>1.5</v>
      </c>
      <c r="E53" s="23" t="n">
        <v>18</v>
      </c>
      <c r="F53" s="22" t="n">
        <f aca="false">D53*E53</f>
        <v>27</v>
      </c>
      <c r="G53" s="18" t="s">
        <v>229</v>
      </c>
      <c r="H53" s="18" t="s">
        <v>212</v>
      </c>
      <c r="I53" s="7"/>
    </row>
    <row r="54" customFormat="false" ht="15" hidden="false" customHeight="false" outlineLevel="0" collapsed="false">
      <c r="A54" s="18" t="n">
        <v>50</v>
      </c>
      <c r="B54" s="14" t="s">
        <v>349</v>
      </c>
      <c r="C54" s="18" t="s">
        <v>281</v>
      </c>
      <c r="D54" s="8" t="n">
        <v>14</v>
      </c>
      <c r="E54" s="23" t="n">
        <v>1</v>
      </c>
      <c r="F54" s="22" t="n">
        <f aca="false">D54*E54</f>
        <v>14</v>
      </c>
      <c r="G54" s="18" t="s">
        <v>229</v>
      </c>
      <c r="H54" s="18" t="s">
        <v>212</v>
      </c>
      <c r="I54" s="7" t="s">
        <v>350</v>
      </c>
    </row>
    <row r="55" customFormat="false" ht="15" hidden="false" customHeight="false" outlineLevel="0" collapsed="false">
      <c r="A55" s="18" t="n">
        <v>51</v>
      </c>
      <c r="B55" s="14" t="s">
        <v>351</v>
      </c>
      <c r="C55" s="18" t="s">
        <v>281</v>
      </c>
      <c r="D55" s="8" t="n">
        <v>1.5</v>
      </c>
      <c r="E55" s="23" t="n">
        <v>4</v>
      </c>
      <c r="F55" s="22" t="n">
        <f aca="false">D55*E55</f>
        <v>6</v>
      </c>
      <c r="G55" s="18" t="s">
        <v>229</v>
      </c>
      <c r="H55" s="18" t="s">
        <v>212</v>
      </c>
      <c r="I55" s="7" t="s">
        <v>352</v>
      </c>
    </row>
    <row r="56" customFormat="false" ht="15" hidden="false" customHeight="false" outlineLevel="0" collapsed="false">
      <c r="A56" s="18" t="n">
        <v>52</v>
      </c>
      <c r="B56" s="14" t="s">
        <v>323</v>
      </c>
      <c r="C56" s="18" t="s">
        <v>281</v>
      </c>
      <c r="D56" s="8" t="n">
        <v>35</v>
      </c>
      <c r="E56" s="23" t="n">
        <v>12</v>
      </c>
      <c r="F56" s="22" t="n">
        <f aca="false">D56*E56</f>
        <v>420</v>
      </c>
      <c r="G56" s="18" t="s">
        <v>229</v>
      </c>
      <c r="H56" s="18" t="s">
        <v>212</v>
      </c>
      <c r="I56" s="7"/>
    </row>
    <row r="57" customFormat="false" ht="22.35" hidden="false" customHeight="false" outlineLevel="0" collapsed="false">
      <c r="A57" s="18" t="n">
        <v>53</v>
      </c>
      <c r="B57" s="14" t="s">
        <v>353</v>
      </c>
      <c r="C57" s="18" t="s">
        <v>81</v>
      </c>
      <c r="D57" s="5"/>
      <c r="E57" s="23" t="n">
        <v>134</v>
      </c>
      <c r="F57" s="8" t="n">
        <v>7600</v>
      </c>
      <c r="G57" s="18" t="s">
        <v>229</v>
      </c>
      <c r="H57" s="18" t="s">
        <v>212</v>
      </c>
      <c r="I57" s="7" t="s">
        <v>354</v>
      </c>
    </row>
    <row r="58" customFormat="false" ht="15" hidden="false" customHeight="false" outlineLevel="0" collapsed="false">
      <c r="A58" s="18" t="n">
        <v>54</v>
      </c>
      <c r="B58" s="14" t="s">
        <v>355</v>
      </c>
      <c r="C58" s="18" t="s">
        <v>299</v>
      </c>
      <c r="D58" s="8" t="n">
        <v>18</v>
      </c>
      <c r="E58" s="23" t="n">
        <v>1</v>
      </c>
      <c r="F58" s="22" t="n">
        <f aca="false">D58*E58</f>
        <v>18</v>
      </c>
      <c r="G58" s="18" t="s">
        <v>229</v>
      </c>
      <c r="H58" s="18" t="s">
        <v>212</v>
      </c>
      <c r="I58" s="7" t="s">
        <v>356</v>
      </c>
    </row>
    <row r="59" customFormat="false" ht="15" hidden="false" customHeight="false" outlineLevel="0" collapsed="false">
      <c r="A59" s="18" t="n">
        <v>55</v>
      </c>
      <c r="B59" s="14" t="s">
        <v>357</v>
      </c>
      <c r="C59" s="18" t="s">
        <v>92</v>
      </c>
      <c r="D59" s="8" t="n">
        <v>15</v>
      </c>
      <c r="E59" s="23" t="n">
        <v>1</v>
      </c>
      <c r="F59" s="22" t="n">
        <f aca="false">D59*E59</f>
        <v>15</v>
      </c>
      <c r="G59" s="18"/>
      <c r="H59" s="18"/>
      <c r="I59" s="7" t="s">
        <v>358</v>
      </c>
    </row>
    <row r="60" customFormat="false" ht="15" hidden="false" customHeight="false" outlineLevel="0" collapsed="false">
      <c r="A60" s="18" t="n">
        <v>56</v>
      </c>
      <c r="B60" s="14" t="s">
        <v>318</v>
      </c>
      <c r="C60" s="18" t="s">
        <v>92</v>
      </c>
      <c r="D60" s="8" t="n">
        <v>4</v>
      </c>
      <c r="E60" s="23" t="n">
        <v>10</v>
      </c>
      <c r="F60" s="22" t="n">
        <f aca="false">D60*E60</f>
        <v>40</v>
      </c>
      <c r="G60" s="18"/>
      <c r="H60" s="18"/>
      <c r="I60" s="7" t="s">
        <v>359</v>
      </c>
    </row>
    <row r="61" customFormat="false" ht="15" hidden="false" customHeight="false" outlineLevel="0" collapsed="false">
      <c r="A61" s="18" t="n">
        <v>57</v>
      </c>
      <c r="B61" s="14" t="s">
        <v>360</v>
      </c>
      <c r="C61" s="18" t="s">
        <v>291</v>
      </c>
      <c r="D61" s="8" t="n">
        <v>28</v>
      </c>
      <c r="E61" s="23" t="n">
        <v>5</v>
      </c>
      <c r="F61" s="22" t="n">
        <f aca="false">D61*E61</f>
        <v>140</v>
      </c>
      <c r="G61" s="18"/>
      <c r="H61" s="18"/>
      <c r="I61" s="7" t="s">
        <v>361</v>
      </c>
    </row>
    <row r="62" customFormat="false" ht="15" hidden="false" customHeight="false" outlineLevel="0" collapsed="false">
      <c r="A62" s="18" t="n">
        <v>58</v>
      </c>
      <c r="B62" s="14" t="s">
        <v>362</v>
      </c>
      <c r="C62" s="18" t="s">
        <v>92</v>
      </c>
      <c r="D62" s="8" t="n">
        <v>3</v>
      </c>
      <c r="E62" s="23" t="n">
        <v>6</v>
      </c>
      <c r="F62" s="22" t="n">
        <f aca="false">D62*E62</f>
        <v>18</v>
      </c>
      <c r="G62" s="18" t="s">
        <v>229</v>
      </c>
      <c r="H62" s="18" t="s">
        <v>212</v>
      </c>
      <c r="I62" s="7" t="s">
        <v>363</v>
      </c>
    </row>
    <row r="63" customFormat="false" ht="15" hidden="false" customHeight="false" outlineLevel="0" collapsed="false">
      <c r="A63" s="18" t="n">
        <v>59</v>
      </c>
      <c r="B63" s="14" t="s">
        <v>364</v>
      </c>
      <c r="C63" s="18" t="s">
        <v>92</v>
      </c>
      <c r="D63" s="8" t="n">
        <v>19</v>
      </c>
      <c r="E63" s="23" t="n">
        <v>10</v>
      </c>
      <c r="F63" s="22" t="n">
        <f aca="false">D63*E63</f>
        <v>190</v>
      </c>
      <c r="G63" s="18"/>
      <c r="H63" s="18"/>
      <c r="I63" s="7" t="s">
        <v>365</v>
      </c>
    </row>
    <row r="64" customFormat="false" ht="15" hidden="false" customHeight="false" outlineLevel="0" collapsed="false">
      <c r="A64" s="18" t="n">
        <v>60</v>
      </c>
      <c r="B64" s="14" t="s">
        <v>366</v>
      </c>
      <c r="C64" s="18" t="s">
        <v>291</v>
      </c>
      <c r="D64" s="8" t="n">
        <v>4</v>
      </c>
      <c r="E64" s="23" t="n">
        <v>5</v>
      </c>
      <c r="F64" s="22" t="n">
        <f aca="false">D64*E64</f>
        <v>20</v>
      </c>
      <c r="G64" s="18" t="s">
        <v>229</v>
      </c>
      <c r="H64" s="18" t="s">
        <v>212</v>
      </c>
      <c r="I64" s="7" t="s">
        <v>367</v>
      </c>
    </row>
    <row r="65" customFormat="false" ht="15" hidden="false" customHeight="false" outlineLevel="0" collapsed="false">
      <c r="A65" s="18" t="n">
        <v>61</v>
      </c>
      <c r="B65" s="14" t="s">
        <v>368</v>
      </c>
      <c r="C65" s="18" t="s">
        <v>274</v>
      </c>
      <c r="D65" s="8" t="n">
        <v>31</v>
      </c>
      <c r="E65" s="23" t="n">
        <v>1</v>
      </c>
      <c r="F65" s="22" t="n">
        <f aca="false">D65*E65</f>
        <v>31</v>
      </c>
      <c r="G65" s="18"/>
      <c r="H65" s="18"/>
      <c r="I65" s="7" t="s">
        <v>369</v>
      </c>
    </row>
    <row r="66" customFormat="false" ht="15" hidden="false" customHeight="false" outlineLevel="0" collapsed="false">
      <c r="A66" s="18" t="n">
        <v>62</v>
      </c>
      <c r="B66" s="14" t="s">
        <v>370</v>
      </c>
      <c r="C66" s="18" t="s">
        <v>274</v>
      </c>
      <c r="D66" s="8" t="n">
        <v>32</v>
      </c>
      <c r="E66" s="23" t="n">
        <v>1</v>
      </c>
      <c r="F66" s="22" t="n">
        <f aca="false">D66*E66</f>
        <v>32</v>
      </c>
      <c r="G66" s="18"/>
      <c r="H66" s="18"/>
      <c r="I66" s="7" t="s">
        <v>371</v>
      </c>
    </row>
    <row r="67" customFormat="false" ht="15" hidden="false" customHeight="false" outlineLevel="0" collapsed="false">
      <c r="A67" s="18" t="n">
        <v>63</v>
      </c>
      <c r="B67" s="14" t="s">
        <v>372</v>
      </c>
      <c r="C67" s="18" t="s">
        <v>92</v>
      </c>
      <c r="D67" s="8" t="n">
        <v>25</v>
      </c>
      <c r="E67" s="23" t="n">
        <v>1</v>
      </c>
      <c r="F67" s="22" t="n">
        <f aca="false">D67*E67</f>
        <v>25</v>
      </c>
      <c r="G67" s="18"/>
      <c r="H67" s="18"/>
      <c r="I67" s="7" t="s">
        <v>69</v>
      </c>
    </row>
    <row r="68" customFormat="false" ht="15" hidden="false" customHeight="false" outlineLevel="0" collapsed="false">
      <c r="A68" s="11"/>
      <c r="B68" s="9" t="s">
        <v>176</v>
      </c>
      <c r="C68" s="11"/>
      <c r="D68" s="11"/>
      <c r="E68" s="11"/>
      <c r="F68" s="10" t="n">
        <f aca="false">SUM(F5:F67)</f>
        <v>31101.9</v>
      </c>
      <c r="G68" s="11"/>
      <c r="H68" s="11"/>
      <c r="I68" s="11"/>
    </row>
    <row r="70" customFormat="false" ht="15" hidden="false" customHeight="false" outlineLevel="0" collapsed="false">
      <c r="B70" s="12" t="s">
        <v>262</v>
      </c>
      <c r="C70" s="12"/>
      <c r="D70" s="12"/>
      <c r="E70" s="12"/>
      <c r="F70" s="22" t="n">
        <f aca="false">SUMIF(G5:G67,"PAID",F5:F67)</f>
        <v>29174.9</v>
      </c>
    </row>
    <row r="71" customFormat="false" ht="15" hidden="false" customHeight="false" outlineLevel="0" collapsed="false">
      <c r="B71" s="12" t="s">
        <v>373</v>
      </c>
      <c r="C71" s="12"/>
      <c r="D71" s="12"/>
      <c r="E71" s="12"/>
      <c r="F71" s="22" t="n">
        <f aca="false">F68-F70</f>
        <v>1927</v>
      </c>
    </row>
  </sheetData>
  <mergeCells count="2">
    <mergeCell ref="B70:E70"/>
    <mergeCell ref="B71:E71"/>
  </mergeCells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&amp;Lმასალები&amp;R&amp;P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50"/>
  </cols>
  <sheetData>
    <row r="1" customFormat="false" ht="19.7" hidden="false" customHeight="false" outlineLevel="0" collapsed="false">
      <c r="B1" s="1" t="s">
        <v>14</v>
      </c>
    </row>
    <row r="3" customFormat="false" ht="15" hidden="false" customHeight="false" outlineLevel="0" collapsed="false">
      <c r="A3" s="4" t="s">
        <v>50</v>
      </c>
      <c r="B3" s="4" t="s">
        <v>78</v>
      </c>
      <c r="C3" s="4" t="s">
        <v>52</v>
      </c>
      <c r="D3" s="4" t="s">
        <v>154</v>
      </c>
      <c r="E3" s="4" t="s">
        <v>153</v>
      </c>
      <c r="F3" s="4" t="s">
        <v>155</v>
      </c>
      <c r="G3" s="4" t="s">
        <v>204</v>
      </c>
      <c r="H3" s="4" t="s">
        <v>270</v>
      </c>
    </row>
    <row r="4" customFormat="false" ht="22.35" hidden="false" customHeight="false" outlineLevel="0" collapsed="false">
      <c r="A4" s="18" t="n">
        <v>1</v>
      </c>
      <c r="B4" s="14" t="s">
        <v>374</v>
      </c>
      <c r="C4" s="18" t="s">
        <v>92</v>
      </c>
      <c r="D4" s="8" t="n">
        <v>445</v>
      </c>
      <c r="E4" s="33" t="n">
        <v>1</v>
      </c>
      <c r="F4" s="22" t="n">
        <f aca="false">D4*E4</f>
        <v>445</v>
      </c>
      <c r="G4" s="18" t="s">
        <v>221</v>
      </c>
      <c r="H4" s="7" t="s">
        <v>375</v>
      </c>
    </row>
    <row r="5" customFormat="false" ht="15" hidden="false" customHeight="false" outlineLevel="0" collapsed="false">
      <c r="A5" s="18" t="n">
        <v>2</v>
      </c>
      <c r="B5" s="14" t="s">
        <v>376</v>
      </c>
      <c r="C5" s="18" t="s">
        <v>92</v>
      </c>
      <c r="D5" s="8" t="n">
        <v>2395</v>
      </c>
      <c r="E5" s="33" t="n">
        <v>1</v>
      </c>
      <c r="F5" s="22" t="n">
        <f aca="false">D5*E5</f>
        <v>2395</v>
      </c>
      <c r="G5" s="18" t="s">
        <v>221</v>
      </c>
      <c r="H5" s="7" t="s">
        <v>377</v>
      </c>
    </row>
    <row r="6" customFormat="false" ht="15" hidden="false" customHeight="false" outlineLevel="0" collapsed="false">
      <c r="A6" s="18" t="n">
        <v>3</v>
      </c>
      <c r="B6" s="14" t="s">
        <v>378</v>
      </c>
      <c r="C6" s="18" t="s">
        <v>92</v>
      </c>
      <c r="D6" s="8" t="n">
        <v>45</v>
      </c>
      <c r="E6" s="33" t="n">
        <v>2</v>
      </c>
      <c r="F6" s="22" t="n">
        <f aca="false">D6*E6</f>
        <v>90</v>
      </c>
      <c r="G6" s="18" t="s">
        <v>229</v>
      </c>
      <c r="H6" s="7" t="s">
        <v>379</v>
      </c>
    </row>
    <row r="7" customFormat="false" ht="15" hidden="false" customHeight="false" outlineLevel="0" collapsed="false">
      <c r="A7" s="11"/>
      <c r="B7" s="9" t="s">
        <v>176</v>
      </c>
      <c r="C7" s="11"/>
      <c r="D7" s="11"/>
      <c r="E7" s="11"/>
      <c r="F7" s="10" t="n">
        <f aca="false">SUM(F4:F6)</f>
        <v>2930</v>
      </c>
      <c r="G7" s="11"/>
      <c r="H7" s="11"/>
    </row>
  </sheetData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&amp;Lინსტრუმენტები&amp;R&amp;P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40"/>
  </cols>
  <sheetData>
    <row r="1" customFormat="false" ht="19.7" hidden="false" customHeight="false" outlineLevel="0" collapsed="false">
      <c r="B1" s="1" t="s">
        <v>380</v>
      </c>
    </row>
    <row r="2" customFormat="false" ht="15" hidden="false" customHeight="false" outlineLevel="0" collapsed="false">
      <c r="B2" s="2" t="s">
        <v>381</v>
      </c>
    </row>
    <row r="4" customFormat="false" ht="15" hidden="false" customHeight="false" outlineLevel="0" collapsed="false">
      <c r="A4" s="4" t="s">
        <v>50</v>
      </c>
      <c r="B4" s="4" t="s">
        <v>382</v>
      </c>
      <c r="C4" s="4" t="s">
        <v>383</v>
      </c>
      <c r="D4" s="4" t="s">
        <v>384</v>
      </c>
      <c r="E4" s="4" t="s">
        <v>155</v>
      </c>
      <c r="F4" s="4" t="s">
        <v>385</v>
      </c>
      <c r="G4" s="4" t="s">
        <v>7</v>
      </c>
    </row>
    <row r="5" customFormat="false" ht="15" hidden="false" customHeight="false" outlineLevel="0" collapsed="false">
      <c r="A5" s="18" t="n">
        <v>1</v>
      </c>
      <c r="B5" s="5" t="s">
        <v>386</v>
      </c>
      <c r="C5" s="14" t="s">
        <v>387</v>
      </c>
      <c r="D5" s="33" t="n">
        <v>8</v>
      </c>
      <c r="E5" s="8" t="n">
        <v>500</v>
      </c>
      <c r="F5" s="18" t="s">
        <v>388</v>
      </c>
      <c r="G5" s="7" t="s">
        <v>389</v>
      </c>
    </row>
    <row r="6" customFormat="false" ht="15" hidden="false" customHeight="false" outlineLevel="0" collapsed="false">
      <c r="A6" s="18" t="n">
        <v>2</v>
      </c>
      <c r="B6" s="5" t="s">
        <v>390</v>
      </c>
      <c r="C6" s="14" t="s">
        <v>391</v>
      </c>
      <c r="D6" s="33" t="n">
        <v>10</v>
      </c>
      <c r="E6" s="8" t="n">
        <v>1000</v>
      </c>
      <c r="F6" s="18" t="s">
        <v>392</v>
      </c>
      <c r="G6" s="7"/>
    </row>
    <row r="7" customFormat="false" ht="15" hidden="false" customHeight="false" outlineLevel="0" collapsed="false">
      <c r="A7" s="18" t="n">
        <v>3</v>
      </c>
      <c r="B7" s="5"/>
      <c r="C7" s="14" t="s">
        <v>393</v>
      </c>
      <c r="D7" s="33" t="n">
        <v>10</v>
      </c>
      <c r="E7" s="8" t="n">
        <v>1000</v>
      </c>
      <c r="F7" s="18" t="s">
        <v>392</v>
      </c>
      <c r="G7" s="7"/>
    </row>
    <row r="8" customFormat="false" ht="15" hidden="false" customHeight="false" outlineLevel="0" collapsed="false">
      <c r="A8" s="18" t="n">
        <v>4</v>
      </c>
      <c r="B8" s="5" t="s">
        <v>394</v>
      </c>
      <c r="C8" s="14" t="s">
        <v>395</v>
      </c>
      <c r="D8" s="33" t="n">
        <v>16</v>
      </c>
      <c r="E8" s="8" t="n">
        <v>800</v>
      </c>
      <c r="F8" s="18" t="s">
        <v>392</v>
      </c>
      <c r="G8" s="7"/>
    </row>
    <row r="9" customFormat="false" ht="15" hidden="false" customHeight="false" outlineLevel="0" collapsed="false">
      <c r="A9" s="18" t="n">
        <v>5</v>
      </c>
      <c r="B9" s="5"/>
      <c r="C9" s="14" t="s">
        <v>396</v>
      </c>
      <c r="D9" s="33"/>
      <c r="E9" s="8" t="n">
        <v>1000</v>
      </c>
      <c r="F9" s="18" t="s">
        <v>397</v>
      </c>
      <c r="G9" s="7" t="s">
        <v>398</v>
      </c>
    </row>
    <row r="10" customFormat="false" ht="15" hidden="false" customHeight="false" outlineLevel="0" collapsed="false">
      <c r="A10" s="18" t="n">
        <v>6</v>
      </c>
      <c r="B10" s="5" t="s">
        <v>399</v>
      </c>
      <c r="C10" s="14" t="s">
        <v>400</v>
      </c>
      <c r="D10" s="33" t="n">
        <v>8</v>
      </c>
      <c r="E10" s="8" t="n">
        <v>400</v>
      </c>
      <c r="F10" s="18" t="s">
        <v>401</v>
      </c>
      <c r="G10" s="7" t="s">
        <v>402</v>
      </c>
    </row>
    <row r="11" customFormat="false" ht="15" hidden="false" customHeight="false" outlineLevel="0" collapsed="false">
      <c r="A11" s="26"/>
      <c r="B11" s="26"/>
      <c r="C11" s="27" t="s">
        <v>176</v>
      </c>
      <c r="D11" s="26"/>
      <c r="E11" s="28" t="n">
        <f aca="false">SUM(E5:E10)</f>
        <v>4700</v>
      </c>
      <c r="F11" s="26"/>
      <c r="G11" s="26"/>
    </row>
    <row r="12" customFormat="false" ht="15" hidden="false" customHeight="false" outlineLevel="0" collapsed="false">
      <c r="C12" s="5" t="s">
        <v>403</v>
      </c>
      <c r="E12" s="22" t="n">
        <f aca="false">SUMIF(F5:F10,"კი*",E5:E10)</f>
        <v>1900</v>
      </c>
    </row>
    <row r="13" customFormat="false" ht="15" hidden="false" customHeight="false" outlineLevel="0" collapsed="false">
      <c r="A13" s="11"/>
      <c r="B13" s="11"/>
      <c r="C13" s="9" t="s">
        <v>404</v>
      </c>
      <c r="D13" s="11"/>
      <c r="E13" s="10" t="n">
        <f aca="false">E11-E12</f>
        <v>2800</v>
      </c>
      <c r="F13" s="11"/>
      <c r="G13" s="11"/>
    </row>
  </sheetData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&amp;Lშემსრულებლები&amp;R&amp;P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40"/>
  </cols>
  <sheetData>
    <row r="1" customFormat="false" ht="19.7" hidden="false" customHeight="false" outlineLevel="0" collapsed="false">
      <c r="B1" s="1" t="s">
        <v>405</v>
      </c>
    </row>
    <row r="3" customFormat="false" ht="15" hidden="false" customHeight="false" outlineLevel="0" collapsed="false">
      <c r="A3" s="3" t="s">
        <v>406</v>
      </c>
    </row>
    <row r="4" customFormat="false" ht="15" hidden="false" customHeight="false" outlineLevel="0" collapsed="false">
      <c r="A4" s="4" t="s">
        <v>407</v>
      </c>
      <c r="B4" s="4" t="s">
        <v>408</v>
      </c>
      <c r="C4" s="4" t="s">
        <v>409</v>
      </c>
      <c r="D4" s="4" t="s">
        <v>153</v>
      </c>
      <c r="E4" s="4" t="s">
        <v>410</v>
      </c>
      <c r="F4" s="4" t="s">
        <v>411</v>
      </c>
    </row>
    <row r="5" customFormat="false" ht="15" hidden="false" customHeight="false" outlineLevel="0" collapsed="false">
      <c r="A5" s="5" t="s">
        <v>412</v>
      </c>
      <c r="B5" s="5" t="s">
        <v>413</v>
      </c>
      <c r="C5" s="23" t="n">
        <v>26</v>
      </c>
      <c r="D5" s="33" t="n">
        <v>2</v>
      </c>
      <c r="E5" s="24" t="n">
        <f aca="false">C5*D5</f>
        <v>52</v>
      </c>
      <c r="F5" s="33" t="n">
        <v>20</v>
      </c>
    </row>
    <row r="6" customFormat="false" ht="15" hidden="false" customHeight="false" outlineLevel="0" collapsed="false">
      <c r="A6" s="5" t="s">
        <v>414</v>
      </c>
      <c r="B6" s="5" t="s">
        <v>415</v>
      </c>
      <c r="C6" s="23" t="n">
        <v>17</v>
      </c>
      <c r="D6" s="33" t="n">
        <v>5</v>
      </c>
      <c r="E6" s="24" t="n">
        <f aca="false">C6*D6</f>
        <v>85</v>
      </c>
      <c r="F6" s="33" t="n">
        <v>35</v>
      </c>
    </row>
    <row r="7" customFormat="false" ht="15" hidden="false" customHeight="false" outlineLevel="0" collapsed="false">
      <c r="A7" s="5" t="s">
        <v>416</v>
      </c>
      <c r="B7" s="5" t="s">
        <v>417</v>
      </c>
      <c r="C7" s="23" t="n">
        <v>25</v>
      </c>
      <c r="D7" s="33" t="n">
        <v>1</v>
      </c>
      <c r="E7" s="24" t="n">
        <f aca="false">C7*D7</f>
        <v>25</v>
      </c>
      <c r="F7" s="33" t="n">
        <v>9</v>
      </c>
    </row>
    <row r="8" customFormat="false" ht="15" hidden="false" customHeight="false" outlineLevel="0" collapsed="false">
      <c r="A8" s="27" t="s">
        <v>176</v>
      </c>
      <c r="B8" s="26"/>
      <c r="C8" s="26"/>
      <c r="D8" s="34" t="n">
        <f aca="false">SUM(D5:D7)</f>
        <v>8</v>
      </c>
      <c r="E8" s="35" t="n">
        <f aca="false">SUM(E5:E7)</f>
        <v>162</v>
      </c>
      <c r="F8" s="34" t="n">
        <f aca="false">SUM(F5:F7)</f>
        <v>64</v>
      </c>
    </row>
    <row r="10" customFormat="false" ht="15" hidden="false" customHeight="false" outlineLevel="0" collapsed="false">
      <c r="A10" s="3" t="s">
        <v>418</v>
      </c>
    </row>
    <row r="11" customFormat="false" ht="15" hidden="false" customHeight="false" outlineLevel="0" collapsed="false">
      <c r="A11" s="4" t="s">
        <v>407</v>
      </c>
      <c r="B11" s="4" t="s">
        <v>408</v>
      </c>
      <c r="C11" s="4" t="s">
        <v>409</v>
      </c>
      <c r="D11" s="4" t="s">
        <v>153</v>
      </c>
      <c r="E11" s="4" t="s">
        <v>410</v>
      </c>
    </row>
    <row r="12" customFormat="false" ht="15" hidden="false" customHeight="false" outlineLevel="0" collapsed="false">
      <c r="A12" s="5" t="s">
        <v>412</v>
      </c>
      <c r="B12" s="5" t="s">
        <v>419</v>
      </c>
      <c r="C12" s="23" t="n">
        <v>4.6</v>
      </c>
      <c r="D12" s="33" t="n">
        <v>4</v>
      </c>
      <c r="E12" s="24" t="n">
        <f aca="false">C12*D12</f>
        <v>18.4</v>
      </c>
    </row>
    <row r="13" customFormat="false" ht="15" hidden="false" customHeight="false" outlineLevel="0" collapsed="false">
      <c r="A13" s="5" t="s">
        <v>414</v>
      </c>
      <c r="B13" s="5" t="s">
        <v>420</v>
      </c>
      <c r="C13" s="23" t="n">
        <v>2.4</v>
      </c>
      <c r="D13" s="33" t="n">
        <v>5</v>
      </c>
      <c r="E13" s="24" t="n">
        <f aca="false">C13*D13</f>
        <v>12</v>
      </c>
    </row>
    <row r="14" customFormat="false" ht="15" hidden="false" customHeight="false" outlineLevel="0" collapsed="false">
      <c r="A14" s="5" t="s">
        <v>416</v>
      </c>
      <c r="B14" s="5" t="s">
        <v>417</v>
      </c>
      <c r="C14" s="23" t="n">
        <v>2.4</v>
      </c>
      <c r="D14" s="33" t="n">
        <v>1</v>
      </c>
      <c r="E14" s="24" t="n">
        <f aca="false">C14*D14</f>
        <v>2.4</v>
      </c>
    </row>
    <row r="15" customFormat="false" ht="15" hidden="false" customHeight="false" outlineLevel="0" collapsed="false">
      <c r="A15" s="5" t="s">
        <v>414</v>
      </c>
      <c r="B15" s="5" t="s">
        <v>421</v>
      </c>
      <c r="C15" s="23" t="n">
        <v>2</v>
      </c>
      <c r="D15" s="33" t="n">
        <v>1</v>
      </c>
      <c r="E15" s="24" t="n">
        <f aca="false">C15*D15</f>
        <v>2</v>
      </c>
    </row>
    <row r="16" customFormat="false" ht="15" hidden="false" customHeight="false" outlineLevel="0" collapsed="false">
      <c r="A16" s="27" t="s">
        <v>176</v>
      </c>
      <c r="B16" s="26"/>
      <c r="C16" s="26"/>
      <c r="D16" s="34" t="n">
        <f aca="false">SUM(D12:D15)</f>
        <v>11</v>
      </c>
      <c r="E16" s="35" t="n">
        <f aca="false">SUM(E12:E15)</f>
        <v>34.8</v>
      </c>
    </row>
    <row r="19" customFormat="false" ht="15" hidden="false" customHeight="false" outlineLevel="0" collapsed="false">
      <c r="A19" s="3" t="s">
        <v>422</v>
      </c>
    </row>
    <row r="20" customFormat="false" ht="15" hidden="false" customHeight="false" outlineLevel="0" collapsed="false">
      <c r="A20" s="4" t="s">
        <v>407</v>
      </c>
      <c r="B20" s="4" t="s">
        <v>408</v>
      </c>
      <c r="C20" s="4" t="s">
        <v>423</v>
      </c>
      <c r="D20" s="4" t="s">
        <v>153</v>
      </c>
      <c r="E20" s="4" t="s">
        <v>410</v>
      </c>
    </row>
    <row r="21" customFormat="false" ht="15" hidden="false" customHeight="false" outlineLevel="0" collapsed="false">
      <c r="A21" s="5" t="s">
        <v>414</v>
      </c>
      <c r="B21" s="5" t="s">
        <v>424</v>
      </c>
      <c r="C21" s="33" t="s">
        <v>425</v>
      </c>
      <c r="D21" s="33" t="n">
        <v>2</v>
      </c>
      <c r="E21" s="24" t="n">
        <f aca="false">1.14*2.42*D21</f>
        <v>5.5176</v>
      </c>
    </row>
    <row r="22" customFormat="false" ht="15" hidden="false" customHeight="false" outlineLevel="0" collapsed="false">
      <c r="A22" s="5" t="s">
        <v>414</v>
      </c>
      <c r="B22" s="5" t="s">
        <v>426</v>
      </c>
      <c r="C22" s="33" t="s">
        <v>427</v>
      </c>
      <c r="D22" s="33" t="n">
        <v>2</v>
      </c>
      <c r="E22" s="24" t="n">
        <f aca="false">1.1*2.42*D22</f>
        <v>5.324</v>
      </c>
    </row>
    <row r="23" customFormat="false" ht="15" hidden="false" customHeight="false" outlineLevel="0" collapsed="false">
      <c r="A23" s="27" t="s">
        <v>176</v>
      </c>
      <c r="B23" s="26"/>
      <c r="C23" s="26"/>
      <c r="D23" s="34" t="n">
        <f aca="false">SUM(D21:D22)</f>
        <v>4</v>
      </c>
      <c r="E23" s="35" t="n">
        <f aca="false">SUM(E21:E22)</f>
        <v>10.8416</v>
      </c>
    </row>
  </sheetData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&amp;Lგანზომილებები&amp;R&amp;P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13"/>
  </cols>
  <sheetData>
    <row r="1" customFormat="false" ht="19.7" hidden="false" customHeight="false" outlineLevel="0" collapsed="false">
      <c r="B1" s="1" t="s">
        <v>428</v>
      </c>
    </row>
    <row r="2" customFormat="false" ht="15" hidden="false" customHeight="false" outlineLevel="0" collapsed="false">
      <c r="B2" s="2" t="s">
        <v>429</v>
      </c>
    </row>
    <row r="4" customFormat="false" ht="15" hidden="false" customHeight="false" outlineLevel="0" collapsed="false">
      <c r="A4" s="4" t="s">
        <v>50</v>
      </c>
      <c r="B4" s="4" t="s">
        <v>430</v>
      </c>
      <c r="C4" s="4" t="s">
        <v>54</v>
      </c>
      <c r="D4" s="4" t="s">
        <v>431</v>
      </c>
      <c r="E4" s="4" t="s">
        <v>432</v>
      </c>
      <c r="F4" s="4" t="s">
        <v>55</v>
      </c>
    </row>
    <row r="5" customFormat="false" ht="15" hidden="false" customHeight="false" outlineLevel="0" collapsed="false">
      <c r="A5" s="18" t="n">
        <v>1</v>
      </c>
      <c r="B5" s="18" t="s">
        <v>433</v>
      </c>
      <c r="C5" s="14" t="s">
        <v>434</v>
      </c>
      <c r="D5" s="14" t="s">
        <v>435</v>
      </c>
      <c r="E5" s="7" t="s">
        <v>436</v>
      </c>
      <c r="F5" s="18" t="s">
        <v>59</v>
      </c>
    </row>
    <row r="6" customFormat="false" ht="15" hidden="false" customHeight="false" outlineLevel="0" collapsed="false">
      <c r="A6" s="18" t="n">
        <v>2</v>
      </c>
      <c r="B6" s="18" t="s">
        <v>433</v>
      </c>
      <c r="C6" s="14" t="s">
        <v>437</v>
      </c>
      <c r="D6" s="14" t="s">
        <v>438</v>
      </c>
      <c r="E6" s="7" t="s">
        <v>439</v>
      </c>
      <c r="F6" s="18" t="s">
        <v>59</v>
      </c>
    </row>
    <row r="7" customFormat="false" ht="22.35" hidden="false" customHeight="false" outlineLevel="0" collapsed="false">
      <c r="A7" s="18" t="n">
        <v>3</v>
      </c>
      <c r="B7" s="18" t="s">
        <v>440</v>
      </c>
      <c r="C7" s="14" t="s">
        <v>441</v>
      </c>
      <c r="D7" s="14" t="s">
        <v>442</v>
      </c>
      <c r="E7" s="7" t="s">
        <v>443</v>
      </c>
      <c r="F7" s="18" t="s">
        <v>59</v>
      </c>
    </row>
    <row r="8" customFormat="false" ht="22.35" hidden="false" customHeight="false" outlineLevel="0" collapsed="false">
      <c r="A8" s="18" t="n">
        <v>4</v>
      </c>
      <c r="B8" s="18" t="s">
        <v>440</v>
      </c>
      <c r="C8" s="14" t="s">
        <v>93</v>
      </c>
      <c r="D8" s="14" t="s">
        <v>93</v>
      </c>
      <c r="E8" s="7" t="s">
        <v>444</v>
      </c>
      <c r="F8" s="18" t="s">
        <v>59</v>
      </c>
    </row>
    <row r="9" customFormat="false" ht="15" hidden="false" customHeight="false" outlineLevel="0" collapsed="false">
      <c r="A9" s="18" t="n">
        <v>5</v>
      </c>
      <c r="B9" s="18" t="s">
        <v>440</v>
      </c>
      <c r="C9" s="14" t="s">
        <v>445</v>
      </c>
      <c r="D9" s="14" t="s">
        <v>446</v>
      </c>
      <c r="E9" s="7" t="s">
        <v>447</v>
      </c>
      <c r="F9" s="18" t="s">
        <v>59</v>
      </c>
    </row>
    <row r="10" customFormat="false" ht="15" hidden="false" customHeight="false" outlineLevel="0" collapsed="false">
      <c r="A10" s="18" t="n">
        <v>6</v>
      </c>
      <c r="B10" s="18" t="s">
        <v>440</v>
      </c>
      <c r="C10" s="14" t="s">
        <v>448</v>
      </c>
      <c r="D10" s="14" t="s">
        <v>449</v>
      </c>
      <c r="E10" s="7" t="s">
        <v>450</v>
      </c>
      <c r="F10" s="18" t="s">
        <v>59</v>
      </c>
    </row>
    <row r="11" customFormat="false" ht="15" hidden="false" customHeight="false" outlineLevel="0" collapsed="false">
      <c r="A11" s="18" t="n">
        <v>7</v>
      </c>
      <c r="B11" s="18" t="s">
        <v>440</v>
      </c>
      <c r="C11" s="14" t="s">
        <v>451</v>
      </c>
      <c r="D11" s="14" t="s">
        <v>452</v>
      </c>
      <c r="E11" s="7" t="s">
        <v>453</v>
      </c>
      <c r="F11" s="18" t="s">
        <v>104</v>
      </c>
    </row>
    <row r="12" customFormat="false" ht="15" hidden="false" customHeight="false" outlineLevel="0" collapsed="false">
      <c r="A12" s="18" t="n">
        <v>8</v>
      </c>
      <c r="B12" s="18" t="s">
        <v>440</v>
      </c>
      <c r="C12" s="14" t="s">
        <v>454</v>
      </c>
      <c r="D12" s="14" t="s">
        <v>455</v>
      </c>
      <c r="E12" s="7" t="s">
        <v>456</v>
      </c>
      <c r="F12" s="18" t="s">
        <v>59</v>
      </c>
    </row>
    <row r="13" customFormat="false" ht="15" hidden="false" customHeight="false" outlineLevel="0" collapsed="false">
      <c r="A13" s="18" t="n">
        <v>9</v>
      </c>
      <c r="B13" s="18" t="s">
        <v>440</v>
      </c>
      <c r="C13" s="14" t="s">
        <v>457</v>
      </c>
      <c r="D13" s="14" t="s">
        <v>458</v>
      </c>
      <c r="E13" s="7" t="s">
        <v>459</v>
      </c>
      <c r="F13" s="18" t="s">
        <v>59</v>
      </c>
    </row>
    <row r="14" customFormat="false" ht="15" hidden="false" customHeight="false" outlineLevel="0" collapsed="false">
      <c r="A14" s="18" t="n">
        <v>10</v>
      </c>
      <c r="B14" s="18" t="s">
        <v>440</v>
      </c>
      <c r="C14" s="14" t="s">
        <v>460</v>
      </c>
      <c r="D14" s="14" t="s">
        <v>461</v>
      </c>
      <c r="E14" s="7" t="s">
        <v>462</v>
      </c>
      <c r="F14" s="18" t="s">
        <v>69</v>
      </c>
    </row>
    <row r="15" customFormat="false" ht="22.35" hidden="false" customHeight="false" outlineLevel="0" collapsed="false">
      <c r="A15" s="18" t="n">
        <v>11</v>
      </c>
      <c r="B15" s="18" t="s">
        <v>463</v>
      </c>
      <c r="C15" s="14" t="s">
        <v>464</v>
      </c>
      <c r="D15" s="14" t="s">
        <v>465</v>
      </c>
      <c r="E15" s="7" t="s">
        <v>466</v>
      </c>
      <c r="F15" s="18" t="s">
        <v>59</v>
      </c>
    </row>
    <row r="16" customFormat="false" ht="22.35" hidden="false" customHeight="false" outlineLevel="0" collapsed="false">
      <c r="A16" s="18" t="n">
        <v>12</v>
      </c>
      <c r="B16" s="18" t="s">
        <v>463</v>
      </c>
      <c r="C16" s="14" t="s">
        <v>457</v>
      </c>
      <c r="D16" s="14" t="s">
        <v>467</v>
      </c>
      <c r="E16" s="7" t="s">
        <v>468</v>
      </c>
      <c r="F16" s="18" t="s">
        <v>59</v>
      </c>
    </row>
    <row r="17" customFormat="false" ht="15" hidden="false" customHeight="false" outlineLevel="0" collapsed="false">
      <c r="A17" s="18" t="n">
        <v>13</v>
      </c>
      <c r="B17" s="18" t="s">
        <v>469</v>
      </c>
      <c r="C17" s="14" t="s">
        <v>470</v>
      </c>
      <c r="D17" s="14" t="s">
        <v>471</v>
      </c>
      <c r="E17" s="7" t="s">
        <v>472</v>
      </c>
      <c r="F17" s="18" t="s">
        <v>117</v>
      </c>
    </row>
    <row r="18" customFormat="false" ht="22.35" hidden="false" customHeight="false" outlineLevel="0" collapsed="false">
      <c r="A18" s="18" t="n">
        <v>14</v>
      </c>
      <c r="B18" s="18" t="s">
        <v>473</v>
      </c>
      <c r="C18" s="14" t="s">
        <v>457</v>
      </c>
      <c r="D18" s="14" t="s">
        <v>474</v>
      </c>
      <c r="E18" s="7" t="s">
        <v>475</v>
      </c>
      <c r="F18" s="18" t="s">
        <v>59</v>
      </c>
    </row>
    <row r="19" customFormat="false" ht="15" hidden="false" customHeight="false" outlineLevel="0" collapsed="false">
      <c r="A19" s="18" t="n">
        <v>15</v>
      </c>
      <c r="B19" s="18" t="s">
        <v>476</v>
      </c>
      <c r="C19" s="14" t="s">
        <v>477</v>
      </c>
      <c r="D19" s="14" t="s">
        <v>478</v>
      </c>
      <c r="E19" s="7" t="s">
        <v>479</v>
      </c>
      <c r="F19" s="18" t="s">
        <v>104</v>
      </c>
    </row>
    <row r="20" customFormat="false" ht="15" hidden="false" customHeight="false" outlineLevel="0" collapsed="false">
      <c r="A20" s="18" t="n">
        <v>16</v>
      </c>
      <c r="B20" s="18" t="s">
        <v>480</v>
      </c>
      <c r="C20" s="14" t="s">
        <v>481</v>
      </c>
      <c r="D20" s="14" t="s">
        <v>482</v>
      </c>
      <c r="E20" s="7" t="s">
        <v>483</v>
      </c>
      <c r="F20" s="18" t="s">
        <v>69</v>
      </c>
    </row>
    <row r="21" customFormat="false" ht="15" hidden="false" customHeight="false" outlineLevel="0" collapsed="false">
      <c r="A21" s="18" t="n">
        <v>17</v>
      </c>
      <c r="B21" s="18" t="s">
        <v>484</v>
      </c>
      <c r="C21" s="14" t="s">
        <v>485</v>
      </c>
      <c r="D21" s="14" t="s">
        <v>486</v>
      </c>
      <c r="E21" s="7" t="s">
        <v>487</v>
      </c>
      <c r="F21" s="18" t="s">
        <v>69</v>
      </c>
    </row>
    <row r="22" customFormat="false" ht="23.85" hidden="false" customHeight="false" outlineLevel="0" collapsed="false">
      <c r="A22" s="18" t="n">
        <v>18</v>
      </c>
      <c r="B22" s="18" t="s">
        <v>484</v>
      </c>
      <c r="C22" s="14" t="s">
        <v>488</v>
      </c>
      <c r="D22" s="14" t="s">
        <v>489</v>
      </c>
      <c r="E22" s="7" t="s">
        <v>490</v>
      </c>
      <c r="F22" s="18" t="s">
        <v>59</v>
      </c>
    </row>
    <row r="23" customFormat="false" ht="15" hidden="false" customHeight="false" outlineLevel="0" collapsed="false">
      <c r="A23" s="18" t="n">
        <v>19</v>
      </c>
      <c r="B23" s="18" t="s">
        <v>12</v>
      </c>
      <c r="C23" s="14" t="s">
        <v>491</v>
      </c>
      <c r="D23" s="14" t="s">
        <v>492</v>
      </c>
      <c r="E23" s="7" t="s">
        <v>493</v>
      </c>
      <c r="F23" s="18" t="s">
        <v>59</v>
      </c>
    </row>
    <row r="24" customFormat="false" ht="32.8" hidden="false" customHeight="false" outlineLevel="0" collapsed="false">
      <c r="A24" s="18" t="n">
        <v>20</v>
      </c>
      <c r="B24" s="18" t="s">
        <v>12</v>
      </c>
      <c r="C24" s="14" t="s">
        <v>494</v>
      </c>
      <c r="D24" s="14" t="s">
        <v>495</v>
      </c>
      <c r="E24" s="7" t="s">
        <v>496</v>
      </c>
      <c r="F24" s="18" t="s">
        <v>59</v>
      </c>
    </row>
    <row r="25" customFormat="false" ht="22.35" hidden="false" customHeight="false" outlineLevel="0" collapsed="false">
      <c r="A25" s="18" t="n">
        <v>21</v>
      </c>
      <c r="B25" s="18" t="s">
        <v>12</v>
      </c>
      <c r="C25" s="14" t="s">
        <v>497</v>
      </c>
      <c r="D25" s="14" t="s">
        <v>498</v>
      </c>
      <c r="E25" s="7" t="s">
        <v>499</v>
      </c>
      <c r="F25" s="18" t="s">
        <v>69</v>
      </c>
    </row>
    <row r="26" customFormat="false" ht="23.85" hidden="false" customHeight="false" outlineLevel="0" collapsed="false">
      <c r="A26" s="18" t="n">
        <v>22</v>
      </c>
      <c r="B26" s="18" t="s">
        <v>12</v>
      </c>
      <c r="C26" s="14" t="s">
        <v>500</v>
      </c>
      <c r="D26" s="14" t="s">
        <v>501</v>
      </c>
      <c r="E26" s="7" t="s">
        <v>502</v>
      </c>
      <c r="F26" s="18" t="s">
        <v>59</v>
      </c>
    </row>
    <row r="27" customFormat="false" ht="22.35" hidden="false" customHeight="false" outlineLevel="0" collapsed="false">
      <c r="A27" s="18" t="n">
        <v>23</v>
      </c>
      <c r="B27" s="18" t="s">
        <v>12</v>
      </c>
      <c r="C27" s="14" t="s">
        <v>503</v>
      </c>
      <c r="D27" s="14" t="s">
        <v>503</v>
      </c>
      <c r="E27" s="7" t="s">
        <v>504</v>
      </c>
      <c r="F27" s="18" t="s">
        <v>59</v>
      </c>
    </row>
    <row r="28" customFormat="false" ht="15" hidden="false" customHeight="false" outlineLevel="0" collapsed="false">
      <c r="A28" s="18" t="n">
        <v>24</v>
      </c>
      <c r="B28" s="18" t="s">
        <v>14</v>
      </c>
      <c r="C28" s="14" t="s">
        <v>505</v>
      </c>
      <c r="D28" s="14" t="s">
        <v>506</v>
      </c>
      <c r="E28" s="7" t="s">
        <v>507</v>
      </c>
      <c r="F28" s="18" t="s">
        <v>59</v>
      </c>
    </row>
    <row r="29" customFormat="false" ht="22.35" hidden="false" customHeight="false" outlineLevel="0" collapsed="false">
      <c r="A29" s="18" t="n">
        <v>25</v>
      </c>
      <c r="B29" s="18" t="s">
        <v>14</v>
      </c>
      <c r="C29" s="14" t="s">
        <v>457</v>
      </c>
      <c r="D29" s="14" t="s">
        <v>508</v>
      </c>
      <c r="E29" s="7" t="s">
        <v>509</v>
      </c>
      <c r="F29" s="18" t="s">
        <v>59</v>
      </c>
    </row>
    <row r="30" customFormat="false" ht="22.35" hidden="false" customHeight="false" outlineLevel="0" collapsed="false">
      <c r="A30" s="18" t="n">
        <v>26</v>
      </c>
      <c r="B30" s="18" t="s">
        <v>510</v>
      </c>
      <c r="C30" s="14" t="s">
        <v>511</v>
      </c>
      <c r="D30" s="14" t="s">
        <v>512</v>
      </c>
      <c r="E30" s="7" t="s">
        <v>513</v>
      </c>
      <c r="F30" s="18" t="s">
        <v>59</v>
      </c>
    </row>
    <row r="31" customFormat="false" ht="22.35" hidden="false" customHeight="false" outlineLevel="0" collapsed="false">
      <c r="A31" s="18" t="n">
        <v>27</v>
      </c>
      <c r="B31" s="18" t="s">
        <v>514</v>
      </c>
      <c r="C31" s="14" t="s">
        <v>515</v>
      </c>
      <c r="D31" s="14" t="s">
        <v>516</v>
      </c>
      <c r="E31" s="7" t="s">
        <v>517</v>
      </c>
      <c r="F31" s="18" t="s">
        <v>69</v>
      </c>
    </row>
  </sheetData>
  <printOptions headings="false" gridLines="false" gridLinesSet="true" horizontalCentered="tru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&amp;Lწყაროები&amp;R&amp;P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2026-08-13T13:34:30Z</dcterms:created>
  <dc:creator>openpyxl</dc:creator>
  <dc:description/>
  <cp:keywords>budget renovation Tbilisi GEL 2026</cp:keywords>
  <dc:language>en-US</dc:language>
  <cp:lastModifiedBy/>
  <dcterms:modified xsi:type="dcterms:W3CDTF">2026-08-13T13:34:30Z</dcterms:modified>
  <cp:revision>0</cp:revision>
  <dc:subject>Hotel 19th floor renovation budget — Tbilisi, GEL</dc:subject>
  <dc:title>სასტუმროს მე-19 სართულის რემონტის ბიუჯეტი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